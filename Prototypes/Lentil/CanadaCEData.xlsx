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D9C377D6-232E-4E2D-9787-9C90A81B0262}" xr6:coauthVersionLast="47" xr6:coauthVersionMax="47" xr10:uidLastSave="{00000000-0000-0000-0000-000000000000}"/>
  <bookViews>
    <workbookView xWindow="-120" yWindow="-120" windowWidth="29040" windowHeight="15840" activeTab="2" xr2:uid="{A5017088-8F3F-41C2-9D3D-102B2E5948D4}"/>
  </bookViews>
  <sheets>
    <sheet name="Sheet2 (2)" sheetId="4" r:id="rId1"/>
    <sheet name="Sheet2" sheetId="2" r:id="rId2"/>
    <sheet name="Data" sheetId="1" r:id="rId3"/>
  </sheet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K12" i="1" s="1"/>
  <c r="J15" i="1"/>
  <c r="K15" i="1" s="1"/>
  <c r="J18" i="1"/>
  <c r="K18" i="1" s="1"/>
  <c r="J27" i="1"/>
  <c r="J39" i="1"/>
  <c r="J42" i="1"/>
  <c r="J44" i="1"/>
  <c r="K44" i="1" s="1"/>
  <c r="J49" i="1"/>
  <c r="K49" i="1" s="1"/>
  <c r="J51" i="1"/>
  <c r="J63" i="1"/>
  <c r="K63" i="1" s="1"/>
  <c r="J75" i="1"/>
  <c r="J87" i="1"/>
  <c r="K87" i="1" s="1"/>
  <c r="J88" i="1"/>
  <c r="K88" i="1" s="1"/>
  <c r="J90" i="1"/>
  <c r="K90" i="1" s="1"/>
  <c r="J99" i="1"/>
  <c r="J111" i="1"/>
  <c r="K111" i="1" s="1"/>
  <c r="J123" i="1"/>
  <c r="J135" i="1"/>
  <c r="J147" i="1"/>
  <c r="J159" i="1"/>
  <c r="J161" i="1"/>
  <c r="K161" i="1" s="1"/>
  <c r="J162" i="1"/>
  <c r="K162" i="1" s="1"/>
  <c r="J168" i="1"/>
  <c r="K168" i="1" s="1"/>
  <c r="J171" i="1"/>
  <c r="J183" i="1"/>
  <c r="K183" i="1" s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3" i="1"/>
  <c r="D184" i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C184" i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J194" i="1" s="1"/>
  <c r="K194" i="1" s="1"/>
  <c r="D172" i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C172" i="1"/>
  <c r="C173" i="1" s="1"/>
  <c r="D160" i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C160" i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J170" i="1" s="1"/>
  <c r="K170" i="1" s="1"/>
  <c r="D148" i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C148" i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J158" i="1" s="1"/>
  <c r="K158" i="1" s="1"/>
  <c r="E136" i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D136" i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C136" i="1"/>
  <c r="C137" i="1" s="1"/>
  <c r="E124" i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D124" i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C124" i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J134" i="1" s="1"/>
  <c r="K134" i="1" s="1"/>
  <c r="E112" i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D112" i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C112" i="1"/>
  <c r="C113" i="1" s="1"/>
  <c r="D101" i="1"/>
  <c r="D102" i="1" s="1"/>
  <c r="D103" i="1" s="1"/>
  <c r="D104" i="1" s="1"/>
  <c r="D105" i="1" s="1"/>
  <c r="D106" i="1" s="1"/>
  <c r="D107" i="1" s="1"/>
  <c r="D108" i="1" s="1"/>
  <c r="D109" i="1" s="1"/>
  <c r="D110" i="1" s="1"/>
  <c r="E100" i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D100" i="1"/>
  <c r="C100" i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J110" i="1" s="1"/>
  <c r="K110" i="1" s="1"/>
  <c r="D88" i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C88" i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J98" i="1" s="1"/>
  <c r="K98" i="1" s="1"/>
  <c r="B88" i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D76" i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C76" i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J86" i="1" s="1"/>
  <c r="K86" i="1" s="1"/>
  <c r="B76" i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D64" i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C64" i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J74" i="1" s="1"/>
  <c r="K74" i="1" s="1"/>
  <c r="B64" i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D52" i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C52" i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J62" i="1" s="1"/>
  <c r="K62" i="1" s="1"/>
  <c r="B52" i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E40" i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D40" i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C40" i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J50" i="1" s="1"/>
  <c r="K50" i="1" s="1"/>
  <c r="B40" i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E28" i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D28" i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C28" i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J38" i="1" s="1"/>
  <c r="K38" i="1" s="1"/>
  <c r="B28" i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6" i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C16" i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J26" i="1" s="1"/>
  <c r="K26" i="1" s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J14" i="1" s="1"/>
  <c r="K14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J186" i="1" l="1"/>
  <c r="K186" i="1" s="1"/>
  <c r="J154" i="1"/>
  <c r="K154" i="1" s="1"/>
  <c r="J34" i="1"/>
  <c r="K34" i="1" s="1"/>
  <c r="J185" i="1"/>
  <c r="K185" i="1" s="1"/>
  <c r="J164" i="1"/>
  <c r="K164" i="1" s="1"/>
  <c r="J153" i="1"/>
  <c r="K153" i="1" s="1"/>
  <c r="J106" i="1"/>
  <c r="K106" i="1" s="1"/>
  <c r="J89" i="1"/>
  <c r="K89" i="1" s="1"/>
  <c r="J60" i="1"/>
  <c r="K60" i="1" s="1"/>
  <c r="J48" i="1"/>
  <c r="K48" i="1" s="1"/>
  <c r="J33" i="1"/>
  <c r="K33" i="1" s="1"/>
  <c r="J17" i="1"/>
  <c r="K17" i="1" s="1"/>
  <c r="K3" i="1"/>
  <c r="J58" i="1"/>
  <c r="K58" i="1" s="1"/>
  <c r="J57" i="1"/>
  <c r="K57" i="1" s="1"/>
  <c r="J193" i="1"/>
  <c r="K193" i="1" s="1"/>
  <c r="J172" i="1"/>
  <c r="K172" i="1" s="1"/>
  <c r="J160" i="1"/>
  <c r="K160" i="1" s="1"/>
  <c r="K147" i="1"/>
  <c r="J97" i="1"/>
  <c r="K97" i="1" s="1"/>
  <c r="J82" i="1"/>
  <c r="K82" i="1" s="1"/>
  <c r="J56" i="1"/>
  <c r="K56" i="1" s="1"/>
  <c r="J41" i="1"/>
  <c r="K41" i="1" s="1"/>
  <c r="K27" i="1"/>
  <c r="J10" i="1"/>
  <c r="K10" i="1" s="1"/>
  <c r="J152" i="1"/>
  <c r="K152" i="1" s="1"/>
  <c r="J32" i="1"/>
  <c r="K32" i="1" s="1"/>
  <c r="J148" i="1"/>
  <c r="K148" i="1" s="1"/>
  <c r="K42" i="1"/>
  <c r="J192" i="1"/>
  <c r="K192" i="1" s="1"/>
  <c r="K171" i="1"/>
  <c r="K159" i="1"/>
  <c r="K135" i="1"/>
  <c r="J96" i="1"/>
  <c r="K96" i="1" s="1"/>
  <c r="K75" i="1"/>
  <c r="J52" i="1"/>
  <c r="K52" i="1" s="1"/>
  <c r="J40" i="1"/>
  <c r="K40" i="1" s="1"/>
  <c r="J9" i="1"/>
  <c r="K9" i="1" s="1"/>
  <c r="J188" i="1"/>
  <c r="K188" i="1" s="1"/>
  <c r="J156" i="1"/>
  <c r="K156" i="1" s="1"/>
  <c r="J130" i="1"/>
  <c r="K130" i="1" s="1"/>
  <c r="J92" i="1"/>
  <c r="K92" i="1" s="1"/>
  <c r="K51" i="1"/>
  <c r="K39" i="1"/>
  <c r="J25" i="1"/>
  <c r="K25" i="1" s="1"/>
  <c r="J8" i="1"/>
  <c r="K8" i="1" s="1"/>
  <c r="J184" i="1"/>
  <c r="K184" i="1" s="1"/>
  <c r="K99" i="1"/>
  <c r="J28" i="1"/>
  <c r="K28" i="1" s="1"/>
  <c r="J187" i="1"/>
  <c r="K187" i="1" s="1"/>
  <c r="J169" i="1"/>
  <c r="K169" i="1" s="1"/>
  <c r="J155" i="1"/>
  <c r="K155" i="1" s="1"/>
  <c r="K123" i="1"/>
  <c r="J91" i="1"/>
  <c r="K91" i="1" s="1"/>
  <c r="J66" i="1"/>
  <c r="K66" i="1" s="1"/>
  <c r="J36" i="1"/>
  <c r="K36" i="1" s="1"/>
  <c r="J20" i="1"/>
  <c r="K20" i="1" s="1"/>
  <c r="J4" i="1"/>
  <c r="K4" i="1" s="1"/>
  <c r="C114" i="1"/>
  <c r="J113" i="1"/>
  <c r="K113" i="1" s="1"/>
  <c r="C174" i="1"/>
  <c r="J173" i="1"/>
  <c r="K173" i="1" s="1"/>
  <c r="C138" i="1"/>
  <c r="J137" i="1"/>
  <c r="K137" i="1" s="1"/>
  <c r="J132" i="1"/>
  <c r="K132" i="1" s="1"/>
  <c r="J124" i="1"/>
  <c r="K124" i="1" s="1"/>
  <c r="J108" i="1"/>
  <c r="K108" i="1" s="1"/>
  <c r="J100" i="1"/>
  <c r="K100" i="1" s="1"/>
  <c r="J76" i="1"/>
  <c r="K76" i="1" s="1"/>
  <c r="J68" i="1"/>
  <c r="K68" i="1" s="1"/>
  <c r="J163" i="1"/>
  <c r="K163" i="1" s="1"/>
  <c r="J131" i="1"/>
  <c r="K131" i="1" s="1"/>
  <c r="J107" i="1"/>
  <c r="K107" i="1" s="1"/>
  <c r="J83" i="1"/>
  <c r="K83" i="1" s="1"/>
  <c r="J67" i="1"/>
  <c r="K67" i="1" s="1"/>
  <c r="J59" i="1"/>
  <c r="K59" i="1" s="1"/>
  <c r="J43" i="1"/>
  <c r="K43" i="1" s="1"/>
  <c r="J35" i="1"/>
  <c r="K35" i="1" s="1"/>
  <c r="J19" i="1"/>
  <c r="K19" i="1" s="1"/>
  <c r="J11" i="1"/>
  <c r="K11" i="1" s="1"/>
  <c r="J129" i="1"/>
  <c r="K129" i="1" s="1"/>
  <c r="J81" i="1"/>
  <c r="K81" i="1" s="1"/>
  <c r="J73" i="1"/>
  <c r="K73" i="1" s="1"/>
  <c r="J65" i="1"/>
  <c r="K65" i="1" s="1"/>
  <c r="J105" i="1"/>
  <c r="K105" i="1" s="1"/>
  <c r="J136" i="1"/>
  <c r="K136" i="1" s="1"/>
  <c r="J104" i="1"/>
  <c r="K104" i="1" s="1"/>
  <c r="J64" i="1"/>
  <c r="K64" i="1" s="1"/>
  <c r="J191" i="1"/>
  <c r="K191" i="1" s="1"/>
  <c r="J167" i="1"/>
  <c r="K167" i="1" s="1"/>
  <c r="J151" i="1"/>
  <c r="K151" i="1" s="1"/>
  <c r="J127" i="1"/>
  <c r="K127" i="1" s="1"/>
  <c r="J103" i="1"/>
  <c r="K103" i="1" s="1"/>
  <c r="J95" i="1"/>
  <c r="K95" i="1" s="1"/>
  <c r="J79" i="1"/>
  <c r="K79" i="1" s="1"/>
  <c r="J71" i="1"/>
  <c r="K71" i="1" s="1"/>
  <c r="J55" i="1"/>
  <c r="K55" i="1" s="1"/>
  <c r="J47" i="1"/>
  <c r="K47" i="1" s="1"/>
  <c r="J31" i="1"/>
  <c r="K31" i="1" s="1"/>
  <c r="J23" i="1"/>
  <c r="K23" i="1" s="1"/>
  <c r="J7" i="1"/>
  <c r="K7" i="1" s="1"/>
  <c r="J72" i="1"/>
  <c r="K72" i="1" s="1"/>
  <c r="J24" i="1"/>
  <c r="K24" i="1" s="1"/>
  <c r="J190" i="1"/>
  <c r="K190" i="1" s="1"/>
  <c r="J166" i="1"/>
  <c r="K166" i="1" s="1"/>
  <c r="J150" i="1"/>
  <c r="K150" i="1" s="1"/>
  <c r="J126" i="1"/>
  <c r="K126" i="1" s="1"/>
  <c r="J102" i="1"/>
  <c r="K102" i="1" s="1"/>
  <c r="J94" i="1"/>
  <c r="K94" i="1" s="1"/>
  <c r="J78" i="1"/>
  <c r="K78" i="1" s="1"/>
  <c r="J70" i="1"/>
  <c r="K70" i="1" s="1"/>
  <c r="J54" i="1"/>
  <c r="K54" i="1" s="1"/>
  <c r="J46" i="1"/>
  <c r="K46" i="1" s="1"/>
  <c r="J30" i="1"/>
  <c r="K30" i="1" s="1"/>
  <c r="J22" i="1"/>
  <c r="K22" i="1" s="1"/>
  <c r="J6" i="1"/>
  <c r="K6" i="1" s="1"/>
  <c r="J128" i="1"/>
  <c r="K128" i="1" s="1"/>
  <c r="J112" i="1"/>
  <c r="K112" i="1" s="1"/>
  <c r="J80" i="1"/>
  <c r="K80" i="1" s="1"/>
  <c r="J16" i="1"/>
  <c r="K16" i="1" s="1"/>
  <c r="J189" i="1"/>
  <c r="K189" i="1" s="1"/>
  <c r="J165" i="1"/>
  <c r="K165" i="1" s="1"/>
  <c r="J157" i="1"/>
  <c r="K157" i="1" s="1"/>
  <c r="J149" i="1"/>
  <c r="K149" i="1" s="1"/>
  <c r="J133" i="1"/>
  <c r="K133" i="1" s="1"/>
  <c r="J125" i="1"/>
  <c r="K125" i="1" s="1"/>
  <c r="J109" i="1"/>
  <c r="K109" i="1" s="1"/>
  <c r="J101" i="1"/>
  <c r="K101" i="1" s="1"/>
  <c r="J93" i="1"/>
  <c r="K93" i="1" s="1"/>
  <c r="J85" i="1"/>
  <c r="K85" i="1" s="1"/>
  <c r="J77" i="1"/>
  <c r="K77" i="1" s="1"/>
  <c r="J69" i="1"/>
  <c r="K69" i="1" s="1"/>
  <c r="J61" i="1"/>
  <c r="K61" i="1" s="1"/>
  <c r="J53" i="1"/>
  <c r="K53" i="1" s="1"/>
  <c r="J45" i="1"/>
  <c r="K45" i="1" s="1"/>
  <c r="J37" i="1"/>
  <c r="K37" i="1" s="1"/>
  <c r="J29" i="1"/>
  <c r="K29" i="1" s="1"/>
  <c r="J21" i="1"/>
  <c r="K21" i="1" s="1"/>
  <c r="J13" i="1"/>
  <c r="K13" i="1" s="1"/>
  <c r="J5" i="1"/>
  <c r="K5" i="1" s="1"/>
  <c r="J84" i="1"/>
  <c r="K84" i="1" s="1"/>
  <c r="C139" i="1" l="1"/>
  <c r="J138" i="1"/>
  <c r="K138" i="1" s="1"/>
  <c r="C175" i="1"/>
  <c r="J174" i="1"/>
  <c r="K174" i="1" s="1"/>
  <c r="C115" i="1"/>
  <c r="J114" i="1"/>
  <c r="K114" i="1" s="1"/>
  <c r="C116" i="1" l="1"/>
  <c r="J115" i="1"/>
  <c r="K115" i="1" s="1"/>
  <c r="C176" i="1"/>
  <c r="J175" i="1"/>
  <c r="K175" i="1" s="1"/>
  <c r="C140" i="1"/>
  <c r="J139" i="1"/>
  <c r="K139" i="1" s="1"/>
  <c r="C141" i="1" l="1"/>
  <c r="J140" i="1"/>
  <c r="K140" i="1" s="1"/>
  <c r="C177" i="1"/>
  <c r="J176" i="1"/>
  <c r="K176" i="1" s="1"/>
  <c r="C117" i="1"/>
  <c r="J116" i="1"/>
  <c r="K116" i="1" s="1"/>
  <c r="C118" i="1" l="1"/>
  <c r="J117" i="1"/>
  <c r="K117" i="1" s="1"/>
  <c r="C178" i="1"/>
  <c r="J177" i="1"/>
  <c r="K177" i="1" s="1"/>
  <c r="C142" i="1"/>
  <c r="J141" i="1"/>
  <c r="K141" i="1" s="1"/>
  <c r="C143" i="1" l="1"/>
  <c r="J142" i="1"/>
  <c r="K142" i="1" s="1"/>
  <c r="C179" i="1"/>
  <c r="J178" i="1"/>
  <c r="K178" i="1" s="1"/>
  <c r="C119" i="1"/>
  <c r="J118" i="1"/>
  <c r="K118" i="1" s="1"/>
  <c r="C120" i="1" l="1"/>
  <c r="J119" i="1"/>
  <c r="K119" i="1" s="1"/>
  <c r="C180" i="1"/>
  <c r="J179" i="1"/>
  <c r="K179" i="1" s="1"/>
  <c r="C144" i="1"/>
  <c r="J143" i="1"/>
  <c r="K143" i="1" s="1"/>
  <c r="C145" i="1" l="1"/>
  <c r="J144" i="1"/>
  <c r="K144" i="1" s="1"/>
  <c r="C181" i="1"/>
  <c r="J180" i="1"/>
  <c r="K180" i="1" s="1"/>
  <c r="C121" i="1"/>
  <c r="J120" i="1"/>
  <c r="K120" i="1" s="1"/>
  <c r="C122" i="1" l="1"/>
  <c r="J122" i="1" s="1"/>
  <c r="K122" i="1" s="1"/>
  <c r="J121" i="1"/>
  <c r="K121" i="1" s="1"/>
  <c r="C182" i="1"/>
  <c r="J182" i="1" s="1"/>
  <c r="K182" i="1" s="1"/>
  <c r="J181" i="1"/>
  <c r="K181" i="1" s="1"/>
  <c r="C146" i="1"/>
  <c r="J146" i="1" s="1"/>
  <c r="K146" i="1" s="1"/>
  <c r="J145" i="1"/>
  <c r="K145" i="1" s="1"/>
</calcChain>
</file>

<file path=xl/sharedStrings.xml><?xml version="1.0" encoding="utf-8"?>
<sst xmlns="http://schemas.openxmlformats.org/spreadsheetml/2006/main" count="340" uniqueCount="214">
  <si>
    <t>Duration of Preliminary Treatment</t>
  </si>
  <si>
    <t>Time to flower in final environment</t>
  </si>
  <si>
    <t>Cultivar</t>
  </si>
  <si>
    <t>Percoz</t>
  </si>
  <si>
    <t>Tmean in Final environment</t>
  </si>
  <si>
    <t>Pp in preliminary enviroment</t>
  </si>
  <si>
    <t>Photoperiod in final environment</t>
  </si>
  <si>
    <t>Temperature of preliminary treatment</t>
  </si>
  <si>
    <t>Liard</t>
  </si>
  <si>
    <t>TtEnv1</t>
  </si>
  <si>
    <t>TtEvn2</t>
  </si>
  <si>
    <t>TtFirstFlower</t>
  </si>
  <si>
    <t>16 Total</t>
  </si>
  <si>
    <t>Average of TtFirstFlower</t>
  </si>
  <si>
    <t>8 Total</t>
  </si>
  <si>
    <t>Source</t>
  </si>
  <si>
    <t>Roberts_etal_1988</t>
  </si>
  <si>
    <t>Roberts_etal_1989</t>
  </si>
  <si>
    <t>Roberts_etal_1990</t>
  </si>
  <si>
    <t>Roberts_etal_1991</t>
  </si>
  <si>
    <t>Roberts_etal_1992</t>
  </si>
  <si>
    <t>Roberts_etal_1993</t>
  </si>
  <si>
    <t>Roberts_etal_1994</t>
  </si>
  <si>
    <t>Roberts_etal_1995</t>
  </si>
  <si>
    <t>Roberts_etal_1996</t>
  </si>
  <si>
    <t>Roberts_etal_1997</t>
  </si>
  <si>
    <t>Roberts_etal_1998</t>
  </si>
  <si>
    <t>Roberts_etal_1999</t>
  </si>
  <si>
    <t>Roberts_etal_2000</t>
  </si>
  <si>
    <t>Roberts_etal_2001</t>
  </si>
  <si>
    <t>Roberts_etal_2002</t>
  </si>
  <si>
    <t>Roberts_etal_2003</t>
  </si>
  <si>
    <t>Roberts_etal_2004</t>
  </si>
  <si>
    <t>Roberts_etal_2005</t>
  </si>
  <si>
    <t>Roberts_etal_2006</t>
  </si>
  <si>
    <t>Roberts_etal_2007</t>
  </si>
  <si>
    <t>Roberts_etal_2008</t>
  </si>
  <si>
    <t>Roberts_etal_2009</t>
  </si>
  <si>
    <t>Roberts_etal_2010</t>
  </si>
  <si>
    <t>Roberts_etal_2011</t>
  </si>
  <si>
    <t>Roberts_etal_2012</t>
  </si>
  <si>
    <t>Roberts_etal_2013</t>
  </si>
  <si>
    <t>Roberts_etal_2014</t>
  </si>
  <si>
    <t>Roberts_etal_2015</t>
  </si>
  <si>
    <t>Roberts_etal_2016</t>
  </si>
  <si>
    <t>Roberts_etal_2017</t>
  </si>
  <si>
    <t>Roberts_etal_2018</t>
  </si>
  <si>
    <t>Roberts_etal_2019</t>
  </si>
  <si>
    <t>Roberts_etal_2020</t>
  </si>
  <si>
    <t>Roberts_etal_2021</t>
  </si>
  <si>
    <t>Roberts_etal_2022</t>
  </si>
  <si>
    <t>Roberts_etal_2023</t>
  </si>
  <si>
    <t>Roberts_etal_2024</t>
  </si>
  <si>
    <t>Roberts_etal_2025</t>
  </si>
  <si>
    <t>Roberts_etal_2026</t>
  </si>
  <si>
    <t>Roberts_etal_2027</t>
  </si>
  <si>
    <t>Roberts_etal_2028</t>
  </si>
  <si>
    <t>Roberts_etal_2029</t>
  </si>
  <si>
    <t>Roberts_etal_2030</t>
  </si>
  <si>
    <t>Roberts_etal_2031</t>
  </si>
  <si>
    <t>Roberts_etal_2032</t>
  </si>
  <si>
    <t>Roberts_etal_2033</t>
  </si>
  <si>
    <t>Roberts_etal_2034</t>
  </si>
  <si>
    <t>Roberts_etal_2035</t>
  </si>
  <si>
    <t>Roberts_etal_2036</t>
  </si>
  <si>
    <t>Roberts_etal_2037</t>
  </si>
  <si>
    <t>Roberts_etal_2038</t>
  </si>
  <si>
    <t>Roberts_etal_2039</t>
  </si>
  <si>
    <t>Roberts_etal_2040</t>
  </si>
  <si>
    <t>Roberts_etal_2041</t>
  </si>
  <si>
    <t>Roberts_etal_2042</t>
  </si>
  <si>
    <t>Roberts_etal_2043</t>
  </si>
  <si>
    <t>Roberts_etal_2044</t>
  </si>
  <si>
    <t>Roberts_etal_2045</t>
  </si>
  <si>
    <t>Roberts_etal_2046</t>
  </si>
  <si>
    <t>Roberts_etal_2047</t>
  </si>
  <si>
    <t>Roberts_etal_2048</t>
  </si>
  <si>
    <t>Roberts_etal_2049</t>
  </si>
  <si>
    <t>Roberts_etal_2050</t>
  </si>
  <si>
    <t>Roberts_etal_2051</t>
  </si>
  <si>
    <t>Roberts_etal_2052</t>
  </si>
  <si>
    <t>Roberts_etal_2053</t>
  </si>
  <si>
    <t>Roberts_etal_2054</t>
  </si>
  <si>
    <t>Roberts_etal_2055</t>
  </si>
  <si>
    <t>Roberts_etal_2056</t>
  </si>
  <si>
    <t>Roberts_etal_2057</t>
  </si>
  <si>
    <t>Roberts_etal_2058</t>
  </si>
  <si>
    <t>Roberts_etal_2059</t>
  </si>
  <si>
    <t>Roberts_etal_2060</t>
  </si>
  <si>
    <t>Roberts_etal_2061</t>
  </si>
  <si>
    <t>Roberts_etal_2062</t>
  </si>
  <si>
    <t>Roberts_etal_2063</t>
  </si>
  <si>
    <t>Roberts_etal_2064</t>
  </si>
  <si>
    <t>Roberts_etal_2065</t>
  </si>
  <si>
    <t>Roberts_etal_2066</t>
  </si>
  <si>
    <t>Roberts_etal_2067</t>
  </si>
  <si>
    <t>Roberts_etal_2068</t>
  </si>
  <si>
    <t>Roberts_etal_2069</t>
  </si>
  <si>
    <t>Roberts_etal_2070</t>
  </si>
  <si>
    <t>Roberts_etal_2071</t>
  </si>
  <si>
    <t>Roberts_etal_2072</t>
  </si>
  <si>
    <t>Roberts_etal_2073</t>
  </si>
  <si>
    <t>Roberts_etal_2074</t>
  </si>
  <si>
    <t>Roberts_etal_2075</t>
  </si>
  <si>
    <t>Roberts_etal_2076</t>
  </si>
  <si>
    <t>Roberts_etal_2077</t>
  </si>
  <si>
    <t>Roberts_etal_2078</t>
  </si>
  <si>
    <t>Roberts_etal_2079</t>
  </si>
  <si>
    <t>Roberts_etal_2080</t>
  </si>
  <si>
    <t>Roberts_etal_2081</t>
  </si>
  <si>
    <t>Roberts_etal_2082</t>
  </si>
  <si>
    <t>Roberts_etal_2083</t>
  </si>
  <si>
    <t>Roberts_etal_2084</t>
  </si>
  <si>
    <t>Roberts_etal_2085</t>
  </si>
  <si>
    <t>Roberts_etal_2086</t>
  </si>
  <si>
    <t>Roberts_etal_2087</t>
  </si>
  <si>
    <t>Roberts_etal_2088</t>
  </si>
  <si>
    <t>Roberts_etal_2089</t>
  </si>
  <si>
    <t>Roberts_etal_2090</t>
  </si>
  <si>
    <t>Roberts_etal_2091</t>
  </si>
  <si>
    <t>Roberts_etal_2092</t>
  </si>
  <si>
    <t>Roberts_etal_2093</t>
  </si>
  <si>
    <t>Roberts_etal_2094</t>
  </si>
  <si>
    <t>Roberts_etal_2095</t>
  </si>
  <si>
    <t>Roberts_etal_2096</t>
  </si>
  <si>
    <t>Roberts_etal_2097</t>
  </si>
  <si>
    <t>Roberts_etal_2098</t>
  </si>
  <si>
    <t>Roberts_etal_2099</t>
  </si>
  <si>
    <t>Roberts_etal_2100</t>
  </si>
  <si>
    <t>Roberts_etal_2101</t>
  </si>
  <si>
    <t>Roberts_etal_2102</t>
  </si>
  <si>
    <t>Roberts_etal_2103</t>
  </si>
  <si>
    <t>Roberts_etal_2104</t>
  </si>
  <si>
    <t>Roberts_etal_2105</t>
  </si>
  <si>
    <t>Roberts_etal_2106</t>
  </si>
  <si>
    <t>Roberts_etal_2107</t>
  </si>
  <si>
    <t>Roberts_etal_2108</t>
  </si>
  <si>
    <t>Roberts_etal_2109</t>
  </si>
  <si>
    <t>Roberts_etal_2110</t>
  </si>
  <si>
    <t>Roberts_etal_2111</t>
  </si>
  <si>
    <t>Roberts_etal_2112</t>
  </si>
  <si>
    <t>Roberts_etal_2113</t>
  </si>
  <si>
    <t>Roberts_etal_2114</t>
  </si>
  <si>
    <t>Roberts_etal_2115</t>
  </si>
  <si>
    <t>Roberts_etal_2116</t>
  </si>
  <si>
    <t>Roberts_etal_2117</t>
  </si>
  <si>
    <t>Roberts_etal_2118</t>
  </si>
  <si>
    <t>Roberts_etal_2119</t>
  </si>
  <si>
    <t>Roberts_etal_2120</t>
  </si>
  <si>
    <t>Roberts_etal_2121</t>
  </si>
  <si>
    <t>Roberts_etal_2122</t>
  </si>
  <si>
    <t>Roberts_etal_2123</t>
  </si>
  <si>
    <t>Roberts_etal_2124</t>
  </si>
  <si>
    <t>Roberts_etal_2125</t>
  </si>
  <si>
    <t>Roberts_etal_2126</t>
  </si>
  <si>
    <t>Roberts_etal_2127</t>
  </si>
  <si>
    <t>Roberts_etal_2128</t>
  </si>
  <si>
    <t>Roberts_etal_2129</t>
  </si>
  <si>
    <t>Roberts_etal_2130</t>
  </si>
  <si>
    <t>Roberts_etal_2131</t>
  </si>
  <si>
    <t>Roberts_etal_2132</t>
  </si>
  <si>
    <t>Roberts_etal_2133</t>
  </si>
  <si>
    <t>Roberts_etal_2134</t>
  </si>
  <si>
    <t>Roberts_etal_2135</t>
  </si>
  <si>
    <t>Roberts_etal_2136</t>
  </si>
  <si>
    <t>Roberts_etal_2137</t>
  </si>
  <si>
    <t>Roberts_etal_2138</t>
  </si>
  <si>
    <t>Roberts_etal_2139</t>
  </si>
  <si>
    <t>Roberts_etal_2140</t>
  </si>
  <si>
    <t>Roberts_etal_2141</t>
  </si>
  <si>
    <t>Roberts_etal_2142</t>
  </si>
  <si>
    <t>Roberts_etal_2143</t>
  </si>
  <si>
    <t>Roberts_etal_2144</t>
  </si>
  <si>
    <t>Roberts_etal_2145</t>
  </si>
  <si>
    <t>Roberts_etal_2146</t>
  </si>
  <si>
    <t>Roberts_etal_2147</t>
  </si>
  <si>
    <t>Roberts_etal_2148</t>
  </si>
  <si>
    <t>Roberts_etal_2149</t>
  </si>
  <si>
    <t>Roberts_etal_2150</t>
  </si>
  <si>
    <t>Roberts_etal_2151</t>
  </si>
  <si>
    <t>Roberts_etal_2152</t>
  </si>
  <si>
    <t>Roberts_etal_2153</t>
  </si>
  <si>
    <t>Roberts_etal_2154</t>
  </si>
  <si>
    <t>Roberts_etal_2155</t>
  </si>
  <si>
    <t>Roberts_etal_2156</t>
  </si>
  <si>
    <t>Roberts_etal_2157</t>
  </si>
  <si>
    <t>Roberts_etal_2158</t>
  </si>
  <si>
    <t>Roberts_etal_2159</t>
  </si>
  <si>
    <t>Roberts_etal_2160</t>
  </si>
  <si>
    <t>Roberts_etal_2161</t>
  </si>
  <si>
    <t>Roberts_etal_2162</t>
  </si>
  <si>
    <t>Roberts_etal_2163</t>
  </si>
  <si>
    <t>Roberts_etal_2164</t>
  </si>
  <si>
    <t>Roberts_etal_2165</t>
  </si>
  <si>
    <t>Roberts_etal_2166</t>
  </si>
  <si>
    <t>Roberts_etal_2167</t>
  </si>
  <si>
    <t>Roberts_etal_2168</t>
  </si>
  <si>
    <t>Roberts_etal_2169</t>
  </si>
  <si>
    <t>Roberts_etal_2170</t>
  </si>
  <si>
    <t>Roberts_etal_2171</t>
  </si>
  <si>
    <t>Roberts_etal_2172</t>
  </si>
  <si>
    <t>Roberts_etal_2173</t>
  </si>
  <si>
    <t>Roberts_etal_2174</t>
  </si>
  <si>
    <t>Roberts_etal_2175</t>
  </si>
  <si>
    <t>Roberts_etal_2176</t>
  </si>
  <si>
    <t>Roberts_etal_2177</t>
  </si>
  <si>
    <t>Roberts_etal_2178</t>
  </si>
  <si>
    <t>Roberts_etal_2179</t>
  </si>
  <si>
    <t>TmeanFinal</t>
  </si>
  <si>
    <t>PpInitial</t>
  </si>
  <si>
    <t>PpFinal</t>
  </si>
  <si>
    <t>TmeanInitial</t>
  </si>
  <si>
    <t>DuratInitial</t>
  </si>
  <si>
    <t>DaysToFlowerInFinal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</si>
</sst>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[CanadaCEData.xlsx]Sheet2 (2)!PivotTable1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</a:schemeClr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</a:schemeClr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</a:schemeClr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60000"/>
              </a:schemeClr>
            </a:solidFill>
            <a:ln w="9525">
              <a:solidFill>
                <a:schemeClr val="accent5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</a:schemeClr>
            </a:solidFill>
            <a:ln w="9525">
              <a:solidFill>
                <a:schemeClr val="accent6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  <a:lumOff val="20000"/>
              </a:schemeClr>
            </a:solidFill>
            <a:ln w="9525">
              <a:solidFill>
                <a:schemeClr val="accent1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  <a:lumOff val="20000"/>
              </a:schemeClr>
            </a:solidFill>
            <a:ln w="9525">
              <a:solidFill>
                <a:schemeClr val="accent2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  <a:lumOff val="20000"/>
              </a:schemeClr>
            </a:solidFill>
            <a:ln w="9525">
              <a:solidFill>
                <a:schemeClr val="accent3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  <a:lumOff val="20000"/>
              </a:schemeClr>
            </a:solidFill>
            <a:ln w="9525">
              <a:solidFill>
                <a:schemeClr val="accent4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  <a:lumOff val="20000"/>
              </a:schemeClr>
            </a:solidFill>
            <a:ln w="9525">
              <a:solidFill>
                <a:schemeClr val="accent5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  <a:lumOff val="20000"/>
              </a:schemeClr>
            </a:solidFill>
            <a:ln w="9525">
              <a:solidFill>
                <a:schemeClr val="accent6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</a:schemeClr>
            </a:solidFill>
            <a:ln w="9525">
              <a:solidFill>
                <a:schemeClr val="accent1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</a:schemeClr>
            </a:solidFill>
            <a:ln w="9525">
              <a:solidFill>
                <a:schemeClr val="accent2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</a:schemeClr>
            </a:solidFill>
            <a:ln w="9525">
              <a:solidFill>
                <a:schemeClr val="accent3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</a:schemeClr>
            </a:solidFill>
            <a:ln w="9525">
              <a:solidFill>
                <a:schemeClr val="accent4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</a:schemeClr>
            </a:solidFill>
            <a:ln w="9525">
              <a:solidFill>
                <a:schemeClr val="accent5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</a:schemeClr>
            </a:solidFill>
            <a:ln w="9525">
              <a:solidFill>
                <a:schemeClr val="accent6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'Sheet2 (2)'!$C$4:$C$6</c:f>
              <c:strCache>
                <c:ptCount val="1"/>
                <c:pt idx="0">
                  <c:v>1 - 8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(2)'!$C$7:$C$10</c:f>
              <c:numCache>
                <c:formatCode>General</c:formatCode>
                <c:ptCount val="4"/>
                <c:pt idx="0">
                  <c:v>716.98831674599751</c:v>
                </c:pt>
                <c:pt idx="1">
                  <c:v>629.2274818007304</c:v>
                </c:pt>
                <c:pt idx="2">
                  <c:v>773.35787970575325</c:v>
                </c:pt>
                <c:pt idx="3">
                  <c:v>569.04125384810015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E1-49A7-8260-F25C404D85C4}"/>
            </c:ext>
          </c:extLst>
        </c:ser>
        <c:ser>
          <c:idx val="1"/>
          <c:order val="1"/>
          <c:tx>
            <c:strRef>
              <c:f>'Sheet2 (2)'!$D$4:$D$6</c:f>
              <c:strCache>
                <c:ptCount val="1"/>
                <c:pt idx="0">
                  <c:v>1 - 16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(2)'!$D$7:$D$10</c:f>
              <c:numCache>
                <c:formatCode>General</c:formatCode>
                <c:ptCount val="4"/>
                <c:pt idx="0">
                  <c:v>715.10533967979131</c:v>
                </c:pt>
                <c:pt idx="1">
                  <c:v>639.50528557458847</c:v>
                </c:pt>
                <c:pt idx="2">
                  <c:v>751.03028991778319</c:v>
                </c:pt>
                <c:pt idx="3">
                  <c:v>556.47064575712284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E1-49A7-8260-F25C404D85C4}"/>
            </c:ext>
          </c:extLst>
        </c:ser>
        <c:ser>
          <c:idx val="2"/>
          <c:order val="2"/>
          <c:tx>
            <c:strRef>
              <c:f>'Sheet2 (2)'!$E$4:$E$6</c:f>
              <c:strCache>
                <c:ptCount val="1"/>
                <c:pt idx="0">
                  <c:v>5 - 8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(2)'!$E$7:$E$10</c:f>
              <c:numCache>
                <c:formatCode>General</c:formatCode>
                <c:ptCount val="4"/>
                <c:pt idx="0">
                  <c:v>710.9130246646464</c:v>
                </c:pt>
                <c:pt idx="1">
                  <c:v>629.27963492810761</c:v>
                </c:pt>
                <c:pt idx="2">
                  <c:v>773.35787970575325</c:v>
                </c:pt>
                <c:pt idx="3">
                  <c:v>569.04125384810015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E1-49A7-8260-F25C404D85C4}"/>
            </c:ext>
          </c:extLst>
        </c:ser>
        <c:ser>
          <c:idx val="3"/>
          <c:order val="3"/>
          <c:tx>
            <c:strRef>
              <c:f>'Sheet2 (2)'!$F$4:$F$6</c:f>
              <c:strCache>
                <c:ptCount val="1"/>
                <c:pt idx="0">
                  <c:v>5 - 16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(2)'!$F$7:$F$10</c:f>
              <c:numCache>
                <c:formatCode>General</c:formatCode>
                <c:ptCount val="4"/>
                <c:pt idx="0">
                  <c:v>715.10533967979131</c:v>
                </c:pt>
                <c:pt idx="1">
                  <c:v>633.45552279888352</c:v>
                </c:pt>
                <c:pt idx="2">
                  <c:v>751.03028991778319</c:v>
                </c:pt>
                <c:pt idx="3">
                  <c:v>556.47064575712284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E1-49A7-8260-F25C404D85C4}"/>
            </c:ext>
          </c:extLst>
        </c:ser>
        <c:ser>
          <c:idx val="4"/>
          <c:order val="4"/>
          <c:tx>
            <c:strRef>
              <c:f>'Sheet2 (2)'!$G$4:$G$6</c:f>
              <c:strCache>
                <c:ptCount val="1"/>
                <c:pt idx="0">
                  <c:v>9 - 8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(2)'!$G$7:$G$10</c:f>
              <c:numCache>
                <c:formatCode>General</c:formatCode>
                <c:ptCount val="4"/>
                <c:pt idx="0">
                  <c:v>710.96495023799162</c:v>
                </c:pt>
                <c:pt idx="1">
                  <c:v>629.2274818007304</c:v>
                </c:pt>
                <c:pt idx="2">
                  <c:v>773.35787970575325</c:v>
                </c:pt>
                <c:pt idx="3">
                  <c:v>569.04125384810015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E1-49A7-8260-F25C404D85C4}"/>
            </c:ext>
          </c:extLst>
        </c:ser>
        <c:ser>
          <c:idx val="5"/>
          <c:order val="5"/>
          <c:tx>
            <c:strRef>
              <c:f>'Sheet2 (2)'!$H$4:$H$6</c:f>
              <c:strCache>
                <c:ptCount val="1"/>
                <c:pt idx="0">
                  <c:v>9 - 16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'Sheet2 (2)'!$A$7:$B$10</c:f>
              <c:multiLvlStrCache>
                <c:ptCount val="4"/>
                <c:lvl>
                  <c:pt idx="0">
                    <c:v>11</c:v>
                  </c:pt>
                  <c:pt idx="1">
                    <c:v>16</c:v>
                  </c:pt>
                  <c:pt idx="2">
                    <c:v>11</c:v>
                  </c:pt>
                  <c:pt idx="3">
                    <c:v>16</c:v>
                  </c:pt>
                </c:lvl>
                <c:lvl>
                  <c:pt idx="0">
                    <c:v>12</c:v>
                  </c:pt>
                  <c:pt idx="2">
                    <c:v>19</c:v>
                  </c:pt>
                </c:lvl>
              </c:multiLvlStrCache>
            </c:multiLvlStrRef>
          </c:cat>
          <c:val>
            <c:numRef>
              <c:f>'Sheet2 (2)'!$H$7:$H$10</c:f>
              <c:numCache>
                <c:formatCode>General</c:formatCode>
                <c:ptCount val="4"/>
                <c:pt idx="0">
                  <c:v>715.10533967979131</c:v>
                </c:pt>
                <c:pt idx="1">
                  <c:v>627.40576002317766</c:v>
                </c:pt>
                <c:pt idx="2">
                  <c:v>751.03028991778319</c:v>
                </c:pt>
                <c:pt idx="3">
                  <c:v>556.47064575712284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E1-49A7-8260-F25C404D8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7449376"/>
        <c:axId val="707468576"/>
      </c:lineChart>
      <c:catAx>
        <c:axId val="70744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68576"/>
        <c:crosses val="autoZero"/>
        <c:auto val="1"/>
        <c:lblAlgn val="ctr"/>
        <c:lblOffset val="100"/>
        <c:noMultiLvlLbl val="0"/>
      </c:catAx>
      <c:valAx>
        <c:axId val="70746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4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[CanadaCEData.xlsx]Sheet2!PivotTable1</c:name>
    <c:fmtId val="1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Sheet2!$B$3:$B$7</c:f>
              <c:strCache>
                <c:ptCount val="1"/>
                <c:pt idx="0">
                  <c:v>1 - 8 - 12 - 16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Sheet2!$B$8:$B$11</c:f>
              <c:numCache>
                <c:formatCode>General</c:formatCode>
                <c:ptCount val="4"/>
                <c:pt idx="0">
                  <c:v>629.2274818007304</c:v>
                </c:pt>
                <c:pt idx="1">
                  <c:v>579.66861033646001</c:v>
                </c:pt>
                <c:pt idx="2">
                  <c:v>505.01068414762199</c:v>
                </c:pt>
                <c:pt idx="3">
                  <c:v>477.48578465104322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C7-441A-B2AA-0AE2F5434561}"/>
            </c:ext>
          </c:extLst>
        </c:ser>
        <c:ser>
          <c:idx val="1"/>
          <c:order val="1"/>
          <c:tx>
            <c:strRef>
              <c:f>Sheet2!$D$3:$D$7</c:f>
              <c:strCache>
                <c:ptCount val="1"/>
                <c:pt idx="0">
                  <c:v>1 - 16 - 12 - 16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Sheet2!$D$8:$D$11</c:f>
              <c:numCache>
                <c:formatCode>General</c:formatCode>
                <c:ptCount val="4"/>
                <c:pt idx="0">
                  <c:v>639.50528557458847</c:v>
                </c:pt>
                <c:pt idx="1">
                  <c:v>565.79951613487242</c:v>
                </c:pt>
                <c:pt idx="2">
                  <c:v>472.8879953641644</c:v>
                </c:pt>
                <c:pt idx="3">
                  <c:v>427.26596066784839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C7-441A-B2AA-0AE2F5434561}"/>
            </c:ext>
          </c:extLst>
        </c:ser>
        <c:ser>
          <c:idx val="2"/>
          <c:order val="2"/>
          <c:tx>
            <c:strRef>
              <c:f>Sheet2!$F$3:$F$7</c:f>
              <c:strCache>
                <c:ptCount val="1"/>
                <c:pt idx="0">
                  <c:v>5 - 8 - 12 - 16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Sheet2!$F$8:$F$11</c:f>
              <c:numCache>
                <c:formatCode>General</c:formatCode>
                <c:ptCount val="4"/>
                <c:pt idx="0">
                  <c:v>629.27963492810761</c:v>
                </c:pt>
                <c:pt idx="1">
                  <c:v>577.37242403389882</c:v>
                </c:pt>
                <c:pt idx="2">
                  <c:v>606.80924269312914</c:v>
                </c:pt>
                <c:pt idx="3">
                  <c:v>675.13744522110596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C7-441A-B2AA-0AE2F5434561}"/>
            </c:ext>
          </c:extLst>
        </c:ser>
        <c:ser>
          <c:idx val="3"/>
          <c:order val="3"/>
          <c:tx>
            <c:strRef>
              <c:f>Sheet2!$H$3:$H$7</c:f>
              <c:strCache>
                <c:ptCount val="1"/>
                <c:pt idx="0">
                  <c:v>5 - 16 - 12 - 16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Sheet2!$H$8:$H$11</c:f>
              <c:numCache>
                <c:formatCode>General</c:formatCode>
                <c:ptCount val="4"/>
                <c:pt idx="0">
                  <c:v>633.45552279888352</c:v>
                </c:pt>
                <c:pt idx="1">
                  <c:v>593.69999058346161</c:v>
                </c:pt>
                <c:pt idx="2">
                  <c:v>580.73631668537882</c:v>
                </c:pt>
                <c:pt idx="3">
                  <c:v>624.91762123791113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C7-441A-B2AA-0AE2F5434561}"/>
            </c:ext>
          </c:extLst>
        </c:ser>
        <c:ser>
          <c:idx val="4"/>
          <c:order val="4"/>
          <c:tx>
            <c:strRef>
              <c:f>Sheet2!$J$3:$J$7</c:f>
              <c:strCache>
                <c:ptCount val="1"/>
                <c:pt idx="0">
                  <c:v>9 - 8 - 12 - 16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Sheet2!$J$8:$J$11</c:f>
              <c:numCache>
                <c:formatCode>General</c:formatCode>
                <c:ptCount val="4"/>
                <c:pt idx="0">
                  <c:v>629.2274818007304</c:v>
                </c:pt>
                <c:pt idx="1">
                  <c:v>623.37003368222759</c:v>
                </c:pt>
                <c:pt idx="2">
                  <c:v>714.70971714171833</c:v>
                </c:pt>
                <c:pt idx="3">
                  <c:v>812.29147803411479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C7-441A-B2AA-0AE2F5434561}"/>
            </c:ext>
          </c:extLst>
        </c:ser>
        <c:ser>
          <c:idx val="5"/>
          <c:order val="5"/>
          <c:tx>
            <c:strRef>
              <c:f>Sheet2!$L$3:$L$7</c:f>
              <c:strCache>
                <c:ptCount val="1"/>
                <c:pt idx="0">
                  <c:v>9 - 16 - 12 - 16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Sheet2!$A$8:$A$11</c:f>
              <c:strCache>
                <c:ptCount val="4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</c:strCache>
            </c:strRef>
          </c:cat>
          <c:val>
            <c:numRef>
              <c:f>Sheet2!$L$8:$L$11</c:f>
              <c:numCache>
                <c:formatCode>General</c:formatCode>
                <c:ptCount val="4"/>
                <c:pt idx="0">
                  <c:v>627.40576002317766</c:v>
                </c:pt>
                <c:pt idx="1">
                  <c:v>609.44878635326404</c:v>
                </c:pt>
                <c:pt idx="2">
                  <c:v>603.94011227409237</c:v>
                </c:pt>
                <c:pt idx="3">
                  <c:v>659.12138060917562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C7-441A-B2AA-0AE2F5434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7449376"/>
        <c:axId val="707468576"/>
      </c:lineChart>
      <c:catAx>
        <c:axId val="70744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68576"/>
        <c:crosses val="autoZero"/>
        <c:auto val="1"/>
        <c:lblAlgn val="ctr"/>
        <c:lblOffset val="100"/>
        <c:noMultiLvlLbl val="0"/>
      </c:catAx>
      <c:valAx>
        <c:axId val="70746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4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1485900</xdr:colOff>
      <xdr:row>5</xdr:row>
      <xdr:rowOff>66676</xdr:rowOff>
    </xdr:from>
    <xdr:to>
      <xdr:col>4</xdr:col>
      <xdr:colOff>2447925</xdr:colOff>
      <xdr:row>41</xdr:row>
      <xdr:rowOff>28576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0D49EE-06C9-4944-BF36-2FE650300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561975</xdr:colOff>
      <xdr:row>0</xdr:row>
      <xdr:rowOff>47626</xdr:rowOff>
    </xdr:from>
    <xdr:to>
      <xdr:col>4</xdr:col>
      <xdr:colOff>1524000</xdr:colOff>
      <xdr:row>36</xdr:row>
      <xdr:rowOff>9526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E77349-CD04-B0EC-2228-2660F59ABC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81.493082060188" createdVersion="8" refreshedVersion="8" minRefreshableVersion="3" recordCount="192" xr:uid="{B8ED0E4E-C41D-4378-AFDC-1AC12F92EE2C}">
  <cacheSource type="worksheet">
    <worksheetSource ref="B1:K194" sheet="Data"/>
  </cacheSource>
  <cacheFields count="10">
    <cacheField name="Cultivar" numFmtId="0">
      <sharedItems count="2">
        <s v="Percoz"/>
        <s v="Liard"/>
      </sharedItems>
    </cacheField>
    <cacheField name="Tmean in Final environment" numFmtId="0">
      <sharedItems containsSemiMixedTypes="0" containsString="0" containsNumber="1" containsInteger="1" minValue="12" maxValue="19" count="2">
        <n v="12"/>
        <n v="19"/>
      </sharedItems>
    </cacheField>
    <cacheField name="Pp in preliminary enviroment" numFmtId="0">
      <sharedItems containsSemiMixedTypes="0" containsString="0" containsNumber="1" containsInteger="1" minValue="8" maxValue="16" count="2">
        <n v="8"/>
        <n v="16"/>
      </sharedItems>
    </cacheField>
    <cacheField name="Photoperiod in final environment" numFmtId="0">
      <sharedItems containsSemiMixedTypes="0" containsString="0" containsNumber="1" containsInteger="1" minValue="11" maxValue="16" count="2">
        <n v="11"/>
        <n v="16"/>
      </sharedItems>
    </cacheField>
    <cacheField name="Temperature of preliminary treatment" numFmtId="0">
      <sharedItems containsSemiMixedTypes="0" containsString="0" containsNumber="1" containsInteger="1" minValue="1" maxValue="9" count="3">
        <n v="1"/>
        <n v="5"/>
        <n v="9"/>
      </sharedItems>
    </cacheField>
    <cacheField name="Duration of Preliminary Treatment" numFmtId="0">
      <sharedItems containsSemiMixedTypes="0" containsString="0" containsNumber="1" containsInteger="1" minValue="0" maxValue="60" count="4">
        <n v="0"/>
        <n v="10"/>
        <n v="30"/>
        <n v="60"/>
      </sharedItems>
    </cacheField>
    <cacheField name="Time to flower in final environment" numFmtId="0">
      <sharedItems containsSemiMixedTypes="0" containsString="0" containsNumber="1" minValue="7.1141574010356905" maxValue="104.111498257839"/>
    </cacheField>
    <cacheField name="TtEnv1" numFmtId="0">
      <sharedItems containsSemiMixedTypes="0" containsString="0" containsNumber="1" containsInteger="1" minValue="0" maxValue="540"/>
    </cacheField>
    <cacheField name="TtEvn2" numFmtId="0">
      <sharedItems containsSemiMixedTypes="0" containsString="0" containsNumber="1" minValue="119.1213806091756" maxValue="1970.17421602786"/>
    </cacheField>
    <cacheField name="TtFirstFlower" numFmtId="0">
      <sharedItems containsSemiMixedTypes="0" containsString="0" containsNumber="1" minValue="396.15845134185219" maxValue="1970.1742160278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x v="0"/>
    <x v="0"/>
    <x v="0"/>
    <x v="0"/>
    <x v="0"/>
    <x v="0"/>
    <n v="59.749026395499797"/>
    <n v="0"/>
    <n v="716.98831674599751"/>
    <n v="716.98831674599751"/>
  </r>
  <r>
    <x v="0"/>
    <x v="0"/>
    <x v="0"/>
    <x v="0"/>
    <x v="0"/>
    <x v="1"/>
    <n v="52.237126784941601"/>
    <n v="10"/>
    <n v="626.84552141929919"/>
    <n v="636.84552141929919"/>
  </r>
  <r>
    <x v="0"/>
    <x v="0"/>
    <x v="0"/>
    <x v="0"/>
    <x v="0"/>
    <x v="2"/>
    <n v="44.811769796624802"/>
    <n v="30"/>
    <n v="537.74123755949768"/>
    <n v="567.74123755949768"/>
  </r>
  <r>
    <x v="0"/>
    <x v="0"/>
    <x v="0"/>
    <x v="0"/>
    <x v="0"/>
    <x v="3"/>
    <n v="37.979229770662002"/>
    <n v="60"/>
    <n v="455.75075724794402"/>
    <n v="515.75075724794397"/>
  </r>
  <r>
    <x v="0"/>
    <x v="0"/>
    <x v="0"/>
    <x v="0"/>
    <x v="1"/>
    <x v="0"/>
    <n v="59.2427520553872"/>
    <n v="0"/>
    <n v="710.9130246646464"/>
    <n v="710.9130246646464"/>
  </r>
  <r>
    <x v="0"/>
    <x v="0"/>
    <x v="0"/>
    <x v="0"/>
    <x v="1"/>
    <x v="1"/>
    <n v="50.212029424491497"/>
    <n v="50"/>
    <n v="602.54435309389794"/>
    <n v="652.54435309389794"/>
  </r>
  <r>
    <x v="0"/>
    <x v="0"/>
    <x v="0"/>
    <x v="0"/>
    <x v="1"/>
    <x v="2"/>
    <n v="39.2427520553872"/>
    <n v="150"/>
    <n v="470.9130246646464"/>
    <n v="620.9130246646464"/>
  </r>
  <r>
    <x v="0"/>
    <x v="0"/>
    <x v="0"/>
    <x v="0"/>
    <x v="1"/>
    <x v="3"/>
    <n v="34.435309389874497"/>
    <n v="300"/>
    <n v="413.22371267849394"/>
    <n v="713.22371267849394"/>
  </r>
  <r>
    <x v="0"/>
    <x v="0"/>
    <x v="0"/>
    <x v="0"/>
    <x v="2"/>
    <x v="0"/>
    <n v="59.247079186499299"/>
    <n v="0"/>
    <n v="710.96495023799162"/>
    <n v="710.96495023799162"/>
  </r>
  <r>
    <x v="0"/>
    <x v="0"/>
    <x v="0"/>
    <x v="0"/>
    <x v="2"/>
    <x v="1"/>
    <n v="47.680657723929002"/>
    <n v="90"/>
    <n v="572.16789268714797"/>
    <n v="662.16789268714797"/>
  </r>
  <r>
    <x v="0"/>
    <x v="0"/>
    <x v="0"/>
    <x v="0"/>
    <x v="2"/>
    <x v="2"/>
    <n v="41.267849415837297"/>
    <n v="270"/>
    <n v="495.21419299004754"/>
    <n v="765.21419299004754"/>
  </r>
  <r>
    <x v="0"/>
    <x v="0"/>
    <x v="0"/>
    <x v="0"/>
    <x v="2"/>
    <x v="3"/>
    <n v="27.3431414971873"/>
    <n v="540"/>
    <n v="328.11769796624759"/>
    <n v="868.11769796624753"/>
  </r>
  <r>
    <x v="0"/>
    <x v="0"/>
    <x v="1"/>
    <x v="0"/>
    <x v="0"/>
    <x v="0"/>
    <n v="59.592111639982605"/>
    <n v="0"/>
    <n v="715.10533967979131"/>
    <n v="715.10533967979131"/>
  </r>
  <r>
    <x v="0"/>
    <x v="0"/>
    <x v="1"/>
    <x v="0"/>
    <x v="0"/>
    <x v="1"/>
    <n v="46.5111942881869"/>
    <n v="10"/>
    <n v="558.13433145824274"/>
    <n v="568.13433145824274"/>
  </r>
  <r>
    <x v="0"/>
    <x v="0"/>
    <x v="1"/>
    <x v="0"/>
    <x v="0"/>
    <x v="2"/>
    <n v="42.127810471657298"/>
    <n v="30"/>
    <n v="505.53372565988758"/>
    <n v="535.53372565988752"/>
  </r>
  <r>
    <x v="0"/>
    <x v="0"/>
    <x v="1"/>
    <x v="0"/>
    <x v="0"/>
    <x v="3"/>
    <n v="34.278394634357404"/>
    <n v="60"/>
    <n v="411.34073561228888"/>
    <n v="471.34073561228888"/>
  </r>
  <r>
    <x v="0"/>
    <x v="0"/>
    <x v="1"/>
    <x v="0"/>
    <x v="1"/>
    <x v="0"/>
    <n v="59.592111639982605"/>
    <n v="0"/>
    <n v="715.10533967979131"/>
    <n v="715.10533967979131"/>
  </r>
  <r>
    <x v="0"/>
    <x v="0"/>
    <x v="1"/>
    <x v="0"/>
    <x v="1"/>
    <x v="1"/>
    <n v="48.540618779749003"/>
    <n v="50"/>
    <n v="582.48742535698807"/>
    <n v="632.48742535698807"/>
  </r>
  <r>
    <x v="0"/>
    <x v="0"/>
    <x v="1"/>
    <x v="0"/>
    <x v="1"/>
    <x v="2"/>
    <n v="39.0858372998701"/>
    <n v="150"/>
    <n v="469.03004759844123"/>
    <n v="619.03004759844123"/>
  </r>
  <r>
    <x v="0"/>
    <x v="0"/>
    <x v="1"/>
    <x v="0"/>
    <x v="1"/>
    <x v="3"/>
    <n v="30.228199913457303"/>
    <n v="300"/>
    <n v="362.73839896148763"/>
    <n v="662.73839896148763"/>
  </r>
  <r>
    <x v="0"/>
    <x v="0"/>
    <x v="1"/>
    <x v="0"/>
    <x v="2"/>
    <x v="0"/>
    <n v="59.592111639982605"/>
    <n v="0"/>
    <n v="715.10533967979131"/>
    <n v="715.10533967979131"/>
  </r>
  <r>
    <x v="0"/>
    <x v="0"/>
    <x v="1"/>
    <x v="0"/>
    <x v="2"/>
    <x v="1"/>
    <n v="50.055114668974404"/>
    <n v="90"/>
    <n v="600.66137602769288"/>
    <n v="690.66137602769288"/>
  </r>
  <r>
    <x v="0"/>
    <x v="0"/>
    <x v="1"/>
    <x v="0"/>
    <x v="2"/>
    <x v="2"/>
    <n v="33.0148723496321"/>
    <n v="270"/>
    <n v="396.1784681955852"/>
    <n v="666.1784681955852"/>
  </r>
  <r>
    <x v="0"/>
    <x v="0"/>
    <x v="1"/>
    <x v="0"/>
    <x v="2"/>
    <x v="3"/>
    <n v="24.659182172219801"/>
    <n v="540"/>
    <n v="295.91018606663761"/>
    <n v="835.91018606663761"/>
  </r>
  <r>
    <x v="0"/>
    <x v="1"/>
    <x v="0"/>
    <x v="0"/>
    <x v="0"/>
    <x v="0"/>
    <n v="40.703046300302802"/>
    <n v="0"/>
    <n v="773.35787970575325"/>
    <n v="773.35787970575325"/>
  </r>
  <r>
    <x v="0"/>
    <x v="1"/>
    <x v="0"/>
    <x v="0"/>
    <x v="0"/>
    <x v="1"/>
    <n v="39.777040242319302"/>
    <n v="10"/>
    <n v="755.76376460406675"/>
    <n v="765.76376460406675"/>
  </r>
  <r>
    <x v="0"/>
    <x v="1"/>
    <x v="0"/>
    <x v="0"/>
    <x v="0"/>
    <x v="2"/>
    <n v="25.263842492427401"/>
    <n v="30"/>
    <n v="480.01300735612062"/>
    <n v="510.01300735612062"/>
  </r>
  <r>
    <x v="0"/>
    <x v="1"/>
    <x v="0"/>
    <x v="0"/>
    <x v="0"/>
    <x v="3"/>
    <n v="23.9959930765901"/>
    <n v="60"/>
    <n v="455.9238684552119"/>
    <n v="515.92386845521196"/>
  </r>
  <r>
    <x v="0"/>
    <x v="1"/>
    <x v="0"/>
    <x v="0"/>
    <x v="1"/>
    <x v="0"/>
    <n v="40.703046300302802"/>
    <n v="0"/>
    <n v="773.35787970575325"/>
    <n v="773.35787970575325"/>
  </r>
  <r>
    <x v="0"/>
    <x v="1"/>
    <x v="0"/>
    <x v="0"/>
    <x v="1"/>
    <x v="1"/>
    <n v="34.714296841194205"/>
    <n v="50"/>
    <n v="659.57163998268993"/>
    <n v="709.57163998268993"/>
  </r>
  <r>
    <x v="0"/>
    <x v="1"/>
    <x v="0"/>
    <x v="0"/>
    <x v="1"/>
    <x v="2"/>
    <n v="25.765789701427899"/>
    <n v="150"/>
    <n v="489.55000432713007"/>
    <n v="639.55000432713007"/>
  </r>
  <r>
    <x v="0"/>
    <x v="1"/>
    <x v="0"/>
    <x v="0"/>
    <x v="1"/>
    <x v="3"/>
    <n v="19.4395240155776"/>
    <n v="300"/>
    <n v="369.35095629597441"/>
    <n v="669.35095629597436"/>
  </r>
  <r>
    <x v="0"/>
    <x v="1"/>
    <x v="0"/>
    <x v="0"/>
    <x v="2"/>
    <x v="0"/>
    <n v="40.703046300302802"/>
    <n v="0"/>
    <n v="773.35787970575325"/>
    <n v="773.35787970575325"/>
  </r>
  <r>
    <x v="0"/>
    <x v="1"/>
    <x v="0"/>
    <x v="0"/>
    <x v="2"/>
    <x v="1"/>
    <n v="30.157827780181702"/>
    <n v="90"/>
    <n v="572.99872782345233"/>
    <n v="662.99872782345233"/>
  </r>
  <r>
    <x v="0"/>
    <x v="1"/>
    <x v="0"/>
    <x v="0"/>
    <x v="2"/>
    <x v="2"/>
    <n v="25.770116832539898"/>
    <n v="270"/>
    <n v="489.63221981825808"/>
    <n v="759.63221981825814"/>
  </r>
  <r>
    <x v="0"/>
    <x v="1"/>
    <x v="0"/>
    <x v="0"/>
    <x v="2"/>
    <x v="3"/>
    <n v="14.3767806144525"/>
    <n v="540"/>
    <n v="273.15883167459748"/>
    <n v="813.15883167459742"/>
  </r>
  <r>
    <x v="0"/>
    <x v="1"/>
    <x v="1"/>
    <x v="0"/>
    <x v="0"/>
    <x v="0"/>
    <n v="39.5279099956728"/>
    <n v="0"/>
    <n v="751.03028991778319"/>
    <n v="751.03028991778319"/>
  </r>
  <r>
    <x v="0"/>
    <x v="1"/>
    <x v="1"/>
    <x v="0"/>
    <x v="0"/>
    <x v="1"/>
    <n v="31.5097360450021"/>
    <n v="10"/>
    <n v="598.68498485503994"/>
    <n v="608.68498485503994"/>
  </r>
  <r>
    <x v="0"/>
    <x v="1"/>
    <x v="1"/>
    <x v="0"/>
    <x v="0"/>
    <x v="2"/>
    <n v="27.1220250973604"/>
    <n v="30"/>
    <n v="515.31847684984757"/>
    <n v="545.31847684984757"/>
  </r>
  <r>
    <x v="0"/>
    <x v="1"/>
    <x v="1"/>
    <x v="0"/>
    <x v="0"/>
    <x v="3"/>
    <n v="18.264387710947599"/>
    <n v="60"/>
    <n v="347.02336650800436"/>
    <n v="407.02336650800436"/>
  </r>
  <r>
    <x v="0"/>
    <x v="1"/>
    <x v="1"/>
    <x v="0"/>
    <x v="1"/>
    <x v="0"/>
    <n v="39.5279099956728"/>
    <n v="0"/>
    <n v="751.03028991778319"/>
    <n v="751.03028991778319"/>
  </r>
  <r>
    <x v="0"/>
    <x v="1"/>
    <x v="1"/>
    <x v="0"/>
    <x v="1"/>
    <x v="1"/>
    <n v="31.514063176114199"/>
    <n v="50"/>
    <n v="598.76720034616983"/>
    <n v="648.76720034616983"/>
  </r>
  <r>
    <x v="0"/>
    <x v="1"/>
    <x v="1"/>
    <x v="0"/>
    <x v="1"/>
    <x v="2"/>
    <n v="23.578104716572799"/>
    <n v="150"/>
    <n v="447.98398961488317"/>
    <n v="597.98398961488317"/>
  </r>
  <r>
    <x v="0"/>
    <x v="1"/>
    <x v="1"/>
    <x v="0"/>
    <x v="1"/>
    <x v="3"/>
    <n v="16.745564690610099"/>
    <n v="300"/>
    <n v="318.16572912159188"/>
    <n v="618.16572912159188"/>
  </r>
  <r>
    <x v="0"/>
    <x v="1"/>
    <x v="1"/>
    <x v="0"/>
    <x v="2"/>
    <x v="0"/>
    <n v="39.5279099956728"/>
    <n v="0"/>
    <n v="751.03028991778319"/>
    <n v="751.03028991778319"/>
  </r>
  <r>
    <x v="0"/>
    <x v="1"/>
    <x v="1"/>
    <x v="0"/>
    <x v="2"/>
    <x v="1"/>
    <n v="28.978364344439601"/>
    <n v="90"/>
    <n v="550.58892254435239"/>
    <n v="640.58892254435239"/>
  </r>
  <r>
    <x v="0"/>
    <x v="1"/>
    <x v="1"/>
    <x v="0"/>
    <x v="2"/>
    <x v="2"/>
    <n v="19.025962786672402"/>
    <n v="270"/>
    <n v="361.49329294677563"/>
    <n v="631.49329294677568"/>
  </r>
  <r>
    <x v="0"/>
    <x v="1"/>
    <x v="1"/>
    <x v="0"/>
    <x v="2"/>
    <x v="3"/>
    <n v="7.1263522284725092"/>
    <n v="540"/>
    <n v="135.40069234097768"/>
    <n v="675.40069234097768"/>
  </r>
  <r>
    <x v="0"/>
    <x v="0"/>
    <x v="0"/>
    <x v="1"/>
    <x v="0"/>
    <x v="0"/>
    <n v="52.435623483394203"/>
    <n v="0"/>
    <n v="629.2274818007304"/>
    <n v="629.2274818007304"/>
  </r>
  <r>
    <x v="0"/>
    <x v="0"/>
    <x v="0"/>
    <x v="1"/>
    <x v="0"/>
    <x v="1"/>
    <n v="47.472384194705"/>
    <n v="10"/>
    <n v="569.66861033646001"/>
    <n v="579.66861033646001"/>
  </r>
  <r>
    <x v="0"/>
    <x v="0"/>
    <x v="0"/>
    <x v="1"/>
    <x v="0"/>
    <x v="2"/>
    <n v="39.584223678968499"/>
    <n v="30"/>
    <n v="475.01068414762199"/>
    <n v="505.01068414762199"/>
  </r>
  <r>
    <x v="0"/>
    <x v="0"/>
    <x v="0"/>
    <x v="1"/>
    <x v="0"/>
    <x v="3"/>
    <n v="34.790482054253602"/>
    <n v="60"/>
    <n v="417.48578465104322"/>
    <n v="477.48578465104322"/>
  </r>
  <r>
    <x v="0"/>
    <x v="0"/>
    <x v="0"/>
    <x v="1"/>
    <x v="1"/>
    <x v="0"/>
    <n v="52.439969577342303"/>
    <n v="0"/>
    <n v="629.27963492810761"/>
    <n v="629.27963492810761"/>
  </r>
  <r>
    <x v="0"/>
    <x v="0"/>
    <x v="0"/>
    <x v="1"/>
    <x v="1"/>
    <x v="1"/>
    <n v="43.947702002824897"/>
    <n v="50"/>
    <n v="527.37242403389882"/>
    <n v="577.37242403389882"/>
  </r>
  <r>
    <x v="0"/>
    <x v="0"/>
    <x v="0"/>
    <x v="1"/>
    <x v="1"/>
    <x v="2"/>
    <n v="38.067436891094097"/>
    <n v="150"/>
    <n v="456.80924269312914"/>
    <n v="606.80924269312914"/>
  </r>
  <r>
    <x v="0"/>
    <x v="0"/>
    <x v="0"/>
    <x v="1"/>
    <x v="1"/>
    <x v="3"/>
    <n v="31.2614537684255"/>
    <n v="300"/>
    <n v="375.13744522110602"/>
    <n v="675.13744522110596"/>
  </r>
  <r>
    <x v="0"/>
    <x v="0"/>
    <x v="0"/>
    <x v="1"/>
    <x v="2"/>
    <x v="0"/>
    <n v="52.435623483394203"/>
    <n v="0"/>
    <n v="629.2274818007304"/>
    <n v="629.2274818007304"/>
  </r>
  <r>
    <x v="0"/>
    <x v="0"/>
    <x v="0"/>
    <x v="1"/>
    <x v="2"/>
    <x v="1"/>
    <n v="44.447502806852299"/>
    <n v="90"/>
    <n v="533.37003368222759"/>
    <n v="623.37003368222759"/>
  </r>
  <r>
    <x v="0"/>
    <x v="0"/>
    <x v="0"/>
    <x v="1"/>
    <x v="2"/>
    <x v="2"/>
    <n v="37.059143095143199"/>
    <n v="270"/>
    <n v="444.70971714171839"/>
    <n v="714.70971714171833"/>
  </r>
  <r>
    <x v="0"/>
    <x v="0"/>
    <x v="0"/>
    <x v="1"/>
    <x v="2"/>
    <x v="3"/>
    <n v="22.690956502842901"/>
    <n v="540"/>
    <n v="272.29147803411479"/>
    <n v="812.29147803411479"/>
  </r>
  <r>
    <x v="0"/>
    <x v="0"/>
    <x v="1"/>
    <x v="1"/>
    <x v="0"/>
    <x v="0"/>
    <n v="53.292107131215701"/>
    <n v="0"/>
    <n v="639.50528557458847"/>
    <n v="639.50528557458847"/>
  </r>
  <r>
    <x v="0"/>
    <x v="0"/>
    <x v="1"/>
    <x v="1"/>
    <x v="0"/>
    <x v="1"/>
    <n v="46.316626344572704"/>
    <n v="10"/>
    <n v="555.79951613487242"/>
    <n v="565.79951613487242"/>
  </r>
  <r>
    <x v="0"/>
    <x v="0"/>
    <x v="1"/>
    <x v="1"/>
    <x v="0"/>
    <x v="2"/>
    <n v="36.9073329470137"/>
    <n v="30"/>
    <n v="442.8879953641644"/>
    <n v="472.8879953641644"/>
  </r>
  <r>
    <x v="0"/>
    <x v="0"/>
    <x v="1"/>
    <x v="1"/>
    <x v="0"/>
    <x v="3"/>
    <n v="30.605496722320702"/>
    <n v="60"/>
    <n v="367.26596066784839"/>
    <n v="427.26596066784839"/>
  </r>
  <r>
    <x v="0"/>
    <x v="0"/>
    <x v="1"/>
    <x v="1"/>
    <x v="1"/>
    <x v="0"/>
    <n v="52.787960233240298"/>
    <n v="0"/>
    <n v="633.45552279888352"/>
    <n v="633.45552279888352"/>
  </r>
  <r>
    <x v="0"/>
    <x v="0"/>
    <x v="1"/>
    <x v="1"/>
    <x v="1"/>
    <x v="1"/>
    <n v="45.308332548621799"/>
    <n v="50"/>
    <n v="543.69999058346161"/>
    <n v="593.69999058346161"/>
  </r>
  <r>
    <x v="0"/>
    <x v="0"/>
    <x v="1"/>
    <x v="1"/>
    <x v="1"/>
    <x v="2"/>
    <n v="35.8946930571149"/>
    <n v="150"/>
    <n v="430.73631668537882"/>
    <n v="580.73631668537882"/>
  </r>
  <r>
    <x v="0"/>
    <x v="0"/>
    <x v="1"/>
    <x v="1"/>
    <x v="1"/>
    <x v="3"/>
    <n v="27.0764684364926"/>
    <n v="300"/>
    <n v="324.91762123791119"/>
    <n v="624.91762123791113"/>
  </r>
  <r>
    <x v="0"/>
    <x v="0"/>
    <x v="1"/>
    <x v="1"/>
    <x v="2"/>
    <x v="0"/>
    <n v="52.283813335264803"/>
    <n v="0"/>
    <n v="627.40576002317766"/>
    <n v="627.40576002317766"/>
  </r>
  <r>
    <x v="0"/>
    <x v="0"/>
    <x v="1"/>
    <x v="1"/>
    <x v="2"/>
    <x v="1"/>
    <n v="43.287398862772001"/>
    <n v="90"/>
    <n v="519.44878635326404"/>
    <n v="609.44878635326404"/>
  </r>
  <r>
    <x v="0"/>
    <x v="0"/>
    <x v="1"/>
    <x v="1"/>
    <x v="2"/>
    <x v="2"/>
    <n v="27.8283426895077"/>
    <n v="270"/>
    <n v="333.94011227409237"/>
    <n v="603.94011227409237"/>
  </r>
  <r>
    <x v="0"/>
    <x v="0"/>
    <x v="1"/>
    <x v="1"/>
    <x v="2"/>
    <x v="3"/>
    <n v="9.9267817174313002"/>
    <n v="540"/>
    <n v="119.1213806091756"/>
    <n v="659.12138060917562"/>
  </r>
  <r>
    <x v="0"/>
    <x v="1"/>
    <x v="0"/>
    <x v="1"/>
    <x v="0"/>
    <x v="0"/>
    <n v="29.949539676215799"/>
    <n v="0"/>
    <n v="569.04125384810015"/>
    <n v="569.04125384810015"/>
  </r>
  <r>
    <x v="0"/>
    <x v="1"/>
    <x v="0"/>
    <x v="1"/>
    <x v="0"/>
    <x v="1"/>
    <n v="27.5070348774038"/>
    <n v="10"/>
    <n v="522.63366267067215"/>
    <n v="532.63366267067215"/>
  </r>
  <r>
    <x v="0"/>
    <x v="1"/>
    <x v="0"/>
    <x v="1"/>
    <x v="0"/>
    <x v="2"/>
    <n v="23.6563956394189"/>
    <n v="30"/>
    <n v="449.47151714895909"/>
    <n v="479.47151714895909"/>
  </r>
  <r>
    <x v="0"/>
    <x v="1"/>
    <x v="0"/>
    <x v="1"/>
    <x v="0"/>
    <x v="3"/>
    <n v="20.879241606605898"/>
    <n v="60"/>
    <n v="396.70559052551209"/>
    <n v="456.70559052551209"/>
  </r>
  <r>
    <x v="0"/>
    <x v="1"/>
    <x v="0"/>
    <x v="1"/>
    <x v="1"/>
    <x v="0"/>
    <n v="29.949539676215799"/>
    <n v="0"/>
    <n v="569.04125384810015"/>
    <n v="569.04125384810015"/>
  </r>
  <r>
    <x v="0"/>
    <x v="1"/>
    <x v="0"/>
    <x v="1"/>
    <x v="1"/>
    <x v="1"/>
    <n v="27.5070348774038"/>
    <n v="50"/>
    <n v="522.63366267067215"/>
    <n v="572.63366267067215"/>
  </r>
  <r>
    <x v="0"/>
    <x v="1"/>
    <x v="0"/>
    <x v="1"/>
    <x v="1"/>
    <x v="2"/>
    <n v="22.64375574952"/>
    <n v="150"/>
    <n v="430.23135924088001"/>
    <n v="580.23135924088001"/>
  </r>
  <r>
    <x v="0"/>
    <x v="1"/>
    <x v="0"/>
    <x v="1"/>
    <x v="1"/>
    <x v="3"/>
    <n v="18.358507116728699"/>
    <n v="300"/>
    <n v="348.81163521784526"/>
    <n v="648.81163521784526"/>
  </r>
  <r>
    <x v="0"/>
    <x v="1"/>
    <x v="0"/>
    <x v="1"/>
    <x v="2"/>
    <x v="0"/>
    <n v="29.949539676215799"/>
    <n v="0"/>
    <n v="569.04125384810015"/>
    <n v="569.04125384810015"/>
  </r>
  <r>
    <x v="0"/>
    <x v="1"/>
    <x v="0"/>
    <x v="1"/>
    <x v="2"/>
    <x v="1"/>
    <n v="27.002887979428301"/>
    <n v="90"/>
    <n v="513.05487160913776"/>
    <n v="603.05487160913776"/>
  </r>
  <r>
    <x v="0"/>
    <x v="1"/>
    <x v="0"/>
    <x v="1"/>
    <x v="2"/>
    <x v="2"/>
    <n v="21.635461953568999"/>
    <n v="270"/>
    <n v="411.07377711781101"/>
    <n v="681.07377711781101"/>
  </r>
  <r>
    <x v="0"/>
    <x v="1"/>
    <x v="0"/>
    <x v="1"/>
    <x v="2"/>
    <x v="3"/>
    <n v="13.317038136974199"/>
    <n v="540"/>
    <n v="253.02372460250979"/>
    <n v="793.02372460250979"/>
  </r>
  <r>
    <x v="0"/>
    <x v="1"/>
    <x v="1"/>
    <x v="1"/>
    <x v="0"/>
    <x v="0"/>
    <n v="29.2879287240591"/>
    <n v="0"/>
    <n v="556.47064575712284"/>
    <n v="556.47064575712284"/>
  </r>
  <r>
    <x v="0"/>
    <x v="1"/>
    <x v="1"/>
    <x v="1"/>
    <x v="0"/>
    <x v="1"/>
    <n v="26.341277027271499"/>
    <n v="10"/>
    <n v="500.48426351815846"/>
    <n v="510.48426351815846"/>
  </r>
  <r>
    <x v="0"/>
    <x v="1"/>
    <x v="1"/>
    <x v="1"/>
    <x v="0"/>
    <x v="2"/>
    <n v="24.494187099344298"/>
    <n v="30"/>
    <n v="465.38955488754169"/>
    <n v="495.38955488754169"/>
  </r>
  <r>
    <x v="0"/>
    <x v="1"/>
    <x v="1"/>
    <x v="1"/>
    <x v="0"/>
    <x v="3"/>
    <n v="17.692550070623799"/>
    <n v="60"/>
    <n v="336.15845134185219"/>
    <n v="396.15845134185219"/>
  </r>
  <r>
    <x v="0"/>
    <x v="1"/>
    <x v="1"/>
    <x v="1"/>
    <x v="1"/>
    <x v="0"/>
    <n v="29.2879287240591"/>
    <n v="0"/>
    <n v="556.47064575712284"/>
    <n v="556.47064575712284"/>
  </r>
  <r>
    <x v="0"/>
    <x v="1"/>
    <x v="1"/>
    <x v="1"/>
    <x v="1"/>
    <x v="1"/>
    <n v="26.341277027271499"/>
    <n v="50"/>
    <n v="500.48426351815846"/>
    <n v="550.48426351815851"/>
  </r>
  <r>
    <x v="0"/>
    <x v="1"/>
    <x v="1"/>
    <x v="1"/>
    <x v="1"/>
    <x v="2"/>
    <n v="19.9612111115133"/>
    <n v="150"/>
    <n v="379.26301111875273"/>
    <n v="529.26301111875273"/>
  </r>
  <r>
    <x v="0"/>
    <x v="1"/>
    <x v="1"/>
    <x v="1"/>
    <x v="1"/>
    <x v="3"/>
    <n v="13.159574082792901"/>
    <n v="300"/>
    <n v="250.0319075730651"/>
    <n v="550.03190757306515"/>
  </r>
  <r>
    <x v="0"/>
    <x v="1"/>
    <x v="1"/>
    <x v="1"/>
    <x v="2"/>
    <x v="0"/>
    <n v="29.2879287240591"/>
    <n v="0"/>
    <n v="556.47064575712284"/>
    <n v="556.47064575712284"/>
  </r>
  <r>
    <x v="0"/>
    <x v="1"/>
    <x v="1"/>
    <x v="1"/>
    <x v="2"/>
    <x v="1"/>
    <n v="26.341277027271499"/>
    <n v="90"/>
    <n v="500.48426351815846"/>
    <n v="590.48426351815851"/>
  </r>
  <r>
    <x v="0"/>
    <x v="1"/>
    <x v="1"/>
    <x v="1"/>
    <x v="2"/>
    <x v="2"/>
    <n v="15.4195429357862"/>
    <n v="270"/>
    <n v="292.97131577993781"/>
    <n v="562.97131577993787"/>
  </r>
  <r>
    <x v="0"/>
    <x v="1"/>
    <x v="1"/>
    <x v="1"/>
    <x v="2"/>
    <x v="3"/>
    <n v="7.1141574010356905"/>
    <n v="540"/>
    <n v="135.16899061967811"/>
    <n v="675.16899061967808"/>
  </r>
  <r>
    <x v="1"/>
    <x v="0"/>
    <x v="0"/>
    <x v="0"/>
    <x v="0"/>
    <x v="0"/>
    <n v="104.111498257839"/>
    <n v="0"/>
    <n v="1249.337979094068"/>
    <n v="1249.337979094068"/>
  </r>
  <r>
    <x v="1"/>
    <x v="0"/>
    <x v="0"/>
    <x v="0"/>
    <x v="0"/>
    <x v="1"/>
    <n v="96.585365853658502"/>
    <n v="10"/>
    <n v="1159.024390243902"/>
    <n v="1169.024390243902"/>
  </r>
  <r>
    <x v="1"/>
    <x v="0"/>
    <x v="0"/>
    <x v="0"/>
    <x v="0"/>
    <x v="2"/>
    <n v="87.386759581881506"/>
    <n v="30"/>
    <n v="1048.6411149825781"/>
    <n v="1078.6411149825781"/>
  </r>
  <r>
    <x v="1"/>
    <x v="0"/>
    <x v="0"/>
    <x v="0"/>
    <x v="0"/>
    <x v="3"/>
    <n v="83.623693379790893"/>
    <n v="60"/>
    <n v="1003.4843205574907"/>
    <n v="1063.4843205574907"/>
  </r>
  <r>
    <x v="1"/>
    <x v="0"/>
    <x v="0"/>
    <x v="0"/>
    <x v="1"/>
    <x v="0"/>
    <n v="104.111498257839"/>
    <n v="0"/>
    <n v="1249.337979094068"/>
    <n v="1249.337979094068"/>
  </r>
  <r>
    <x v="1"/>
    <x v="0"/>
    <x v="0"/>
    <x v="0"/>
    <x v="1"/>
    <x v="1"/>
    <n v="91.149825783972105"/>
    <n v="50"/>
    <n v="1093.7979094076652"/>
    <n v="1143.7979094076652"/>
  </r>
  <r>
    <x v="1"/>
    <x v="0"/>
    <x v="0"/>
    <x v="0"/>
    <x v="1"/>
    <x v="2"/>
    <n v="76.933797909407602"/>
    <n v="150"/>
    <n v="923.20557491289128"/>
    <n v="1073.2055749128913"/>
  </r>
  <r>
    <x v="1"/>
    <x v="0"/>
    <x v="0"/>
    <x v="0"/>
    <x v="1"/>
    <x v="3"/>
    <n v="65.644599303135806"/>
    <n v="300"/>
    <n v="787.73519163762967"/>
    <n v="1087.7351916376297"/>
  </r>
  <r>
    <x v="1"/>
    <x v="0"/>
    <x v="0"/>
    <x v="0"/>
    <x v="2"/>
    <x v="0"/>
    <n v="104.111498257839"/>
    <n v="0"/>
    <n v="1249.337979094068"/>
    <n v="1249.337979094068"/>
  </r>
  <r>
    <x v="1"/>
    <x v="0"/>
    <x v="0"/>
    <x v="0"/>
    <x v="2"/>
    <x v="1"/>
    <n v="72.7526132404181"/>
    <n v="90"/>
    <n v="873.0313588850172"/>
    <n v="963.0313588850172"/>
  </r>
  <r>
    <x v="1"/>
    <x v="0"/>
    <x v="0"/>
    <x v="0"/>
    <x v="2"/>
    <x v="2"/>
    <n v="81.533101045296107"/>
    <n v="270"/>
    <n v="978.39721254355322"/>
    <n v="1248.3972125435532"/>
  </r>
  <r>
    <x v="1"/>
    <x v="0"/>
    <x v="0"/>
    <x v="0"/>
    <x v="2"/>
    <x v="3"/>
    <n v="60.209059233449402"/>
    <n v="540"/>
    <n v="722.50871080139279"/>
    <n v="1262.5087108013927"/>
  </r>
  <r>
    <x v="1"/>
    <x v="0"/>
    <x v="1"/>
    <x v="0"/>
    <x v="0"/>
    <x v="0"/>
    <n v="103.275261324041"/>
    <n v="0"/>
    <n v="1239.3031358884919"/>
    <n v="1239.3031358884919"/>
  </r>
  <r>
    <x v="1"/>
    <x v="0"/>
    <x v="1"/>
    <x v="0"/>
    <x v="0"/>
    <x v="1"/>
    <n v="86.132404181184597"/>
    <n v="10"/>
    <n v="1033.5888501742152"/>
    <n v="1043.5888501742152"/>
  </r>
  <r>
    <x v="1"/>
    <x v="0"/>
    <x v="1"/>
    <x v="0"/>
    <x v="0"/>
    <x v="2"/>
    <n v="91.986062717769997"/>
    <n v="30"/>
    <n v="1103.83275261324"/>
    <n v="1133.83275261324"/>
  </r>
  <r>
    <x v="1"/>
    <x v="0"/>
    <x v="1"/>
    <x v="0"/>
    <x v="0"/>
    <x v="3"/>
    <n v="72.334494773519097"/>
    <n v="60"/>
    <n v="868.01393728222911"/>
    <n v="928.01393728222911"/>
  </r>
  <r>
    <x v="1"/>
    <x v="0"/>
    <x v="1"/>
    <x v="0"/>
    <x v="1"/>
    <x v="0"/>
    <n v="103.69337979094"/>
    <n v="0"/>
    <n v="1244.3205574912799"/>
    <n v="1244.3205574912799"/>
  </r>
  <r>
    <x v="1"/>
    <x v="0"/>
    <x v="1"/>
    <x v="0"/>
    <x v="1"/>
    <x v="1"/>
    <n v="82.369337979093999"/>
    <n v="50"/>
    <n v="988.43205574912804"/>
    <n v="1038.432055749128"/>
  </r>
  <r>
    <x v="1"/>
    <x v="0"/>
    <x v="1"/>
    <x v="0"/>
    <x v="1"/>
    <x v="2"/>
    <n v="89.059233449477304"/>
    <n v="150"/>
    <n v="1068.7108013937277"/>
    <n v="1218.7108013937277"/>
  </r>
  <r>
    <x v="1"/>
    <x v="0"/>
    <x v="1"/>
    <x v="0"/>
    <x v="1"/>
    <x v="3"/>
    <n v="66.480836236933698"/>
    <n v="300"/>
    <n v="797.77003484320437"/>
    <n v="1097.7700348432045"/>
  </r>
  <r>
    <x v="1"/>
    <x v="0"/>
    <x v="1"/>
    <x v="0"/>
    <x v="2"/>
    <x v="0"/>
    <n v="103.69337979094"/>
    <n v="0"/>
    <n v="1244.3205574912799"/>
    <n v="1244.3205574912799"/>
  </r>
  <r>
    <x v="1"/>
    <x v="0"/>
    <x v="1"/>
    <x v="0"/>
    <x v="2"/>
    <x v="1"/>
    <n v="90.731707317073102"/>
    <n v="90"/>
    <n v="1088.7804878048773"/>
    <n v="1178.7804878048773"/>
  </r>
  <r>
    <x v="1"/>
    <x v="0"/>
    <x v="1"/>
    <x v="0"/>
    <x v="2"/>
    <x v="2"/>
    <n v="76.933797909407602"/>
    <n v="270"/>
    <n v="923.20557491289128"/>
    <n v="1193.2055749128913"/>
  </r>
  <r>
    <x v="1"/>
    <x v="0"/>
    <x v="1"/>
    <x v="0"/>
    <x v="2"/>
    <x v="3"/>
    <n v="50.592334494773503"/>
    <n v="540"/>
    <n v="607.10801393728207"/>
    <n v="1147.1080139372821"/>
  </r>
  <r>
    <x v="1"/>
    <x v="1"/>
    <x v="0"/>
    <x v="0"/>
    <x v="0"/>
    <x v="0"/>
    <n v="103.275261324041"/>
    <n v="0"/>
    <n v="1962.2299651567789"/>
    <n v="1962.2299651567789"/>
  </r>
  <r>
    <x v="1"/>
    <x v="1"/>
    <x v="0"/>
    <x v="0"/>
    <x v="0"/>
    <x v="1"/>
    <n v="91.149825783972105"/>
    <n v="10"/>
    <n v="1731.84668989547"/>
    <n v="1741.84668989547"/>
  </r>
  <r>
    <x v="1"/>
    <x v="1"/>
    <x v="0"/>
    <x v="0"/>
    <x v="0"/>
    <x v="2"/>
    <n v="66.062717770034794"/>
    <n v="30"/>
    <n v="1255.191637630661"/>
    <n v="1285.191637630661"/>
  </r>
  <r>
    <x v="1"/>
    <x v="1"/>
    <x v="0"/>
    <x v="0"/>
    <x v="0"/>
    <x v="3"/>
    <n v="60.209059233449402"/>
    <n v="60"/>
    <n v="1143.9721254355386"/>
    <n v="1203.9721254355386"/>
  </r>
  <r>
    <x v="1"/>
    <x v="1"/>
    <x v="0"/>
    <x v="0"/>
    <x v="1"/>
    <x v="0"/>
    <n v="103.69337979094"/>
    <n v="0"/>
    <n v="1970.17421602786"/>
    <n v="1970.17421602786"/>
  </r>
  <r>
    <x v="1"/>
    <x v="1"/>
    <x v="0"/>
    <x v="0"/>
    <x v="1"/>
    <x v="1"/>
    <n v="86.5505226480836"/>
    <n v="50"/>
    <n v="1644.4599303135883"/>
    <n v="1694.4599303135883"/>
  </r>
  <r>
    <x v="1"/>
    <x v="1"/>
    <x v="0"/>
    <x v="0"/>
    <x v="1"/>
    <x v="2"/>
    <n v="58.9547038327526"/>
    <n v="150"/>
    <n v="1120.1393728222995"/>
    <n v="1270.1393728222995"/>
  </r>
  <r>
    <x v="1"/>
    <x v="1"/>
    <x v="0"/>
    <x v="0"/>
    <x v="1"/>
    <x v="3"/>
    <n v="53.937282229965099"/>
    <n v="300"/>
    <n v="1024.8083623693369"/>
    <n v="1324.8083623693369"/>
  </r>
  <r>
    <x v="1"/>
    <x v="1"/>
    <x v="0"/>
    <x v="0"/>
    <x v="2"/>
    <x v="0"/>
    <n v="103.275261324041"/>
    <n v="0"/>
    <n v="1962.2299651567789"/>
    <n v="1962.2299651567789"/>
  </r>
  <r>
    <x v="1"/>
    <x v="1"/>
    <x v="0"/>
    <x v="0"/>
    <x v="2"/>
    <x v="1"/>
    <n v="68.153310104529595"/>
    <n v="90"/>
    <n v="1294.9128919860623"/>
    <n v="1384.9128919860623"/>
  </r>
  <r>
    <x v="1"/>
    <x v="1"/>
    <x v="0"/>
    <x v="0"/>
    <x v="2"/>
    <x v="2"/>
    <n v="54.773519163762998"/>
    <n v="270"/>
    <n v="1040.696864111497"/>
    <n v="1310.696864111497"/>
  </r>
  <r>
    <x v="1"/>
    <x v="1"/>
    <x v="0"/>
    <x v="0"/>
    <x v="2"/>
    <x v="3"/>
    <n v="41.811846689895397"/>
    <n v="540"/>
    <n v="794.42508710801258"/>
    <n v="1334.4250871080126"/>
  </r>
  <r>
    <x v="1"/>
    <x v="1"/>
    <x v="1"/>
    <x v="0"/>
    <x v="0"/>
    <x v="0"/>
    <n v="103.69337979094"/>
    <n v="0"/>
    <n v="1970.17421602786"/>
    <n v="1970.17421602786"/>
  </r>
  <r>
    <x v="1"/>
    <x v="1"/>
    <x v="1"/>
    <x v="0"/>
    <x v="0"/>
    <x v="1"/>
    <n v="84.878048780487703"/>
    <n v="10"/>
    <n v="1612.6829268292663"/>
    <n v="1622.6829268292663"/>
  </r>
  <r>
    <x v="1"/>
    <x v="1"/>
    <x v="1"/>
    <x v="0"/>
    <x v="0"/>
    <x v="2"/>
    <n v="74.843205574912801"/>
    <n v="30"/>
    <n v="1422.0209059233432"/>
    <n v="1452.0209059233432"/>
  </r>
  <r>
    <x v="1"/>
    <x v="1"/>
    <x v="1"/>
    <x v="0"/>
    <x v="0"/>
    <x v="3"/>
    <n v="68.571428571428498"/>
    <n v="60"/>
    <n v="1302.8571428571415"/>
    <n v="1362.8571428571415"/>
  </r>
  <r>
    <x v="1"/>
    <x v="1"/>
    <x v="1"/>
    <x v="0"/>
    <x v="1"/>
    <x v="0"/>
    <n v="103.69337979094"/>
    <n v="0"/>
    <n v="1970.17421602786"/>
    <n v="1970.17421602786"/>
  </r>
  <r>
    <x v="1"/>
    <x v="1"/>
    <x v="1"/>
    <x v="0"/>
    <x v="1"/>
    <x v="1"/>
    <n v="83.205574912891905"/>
    <n v="50"/>
    <n v="1580.9059233449461"/>
    <n v="1630.9059233449461"/>
  </r>
  <r>
    <x v="1"/>
    <x v="1"/>
    <x v="1"/>
    <x v="0"/>
    <x v="1"/>
    <x v="2"/>
    <n v="63.135888501742102"/>
    <n v="150"/>
    <n v="1199.5818815330999"/>
    <n v="1349.5818815330999"/>
  </r>
  <r>
    <x v="1"/>
    <x v="1"/>
    <x v="1"/>
    <x v="0"/>
    <x v="1"/>
    <x v="3"/>
    <n v="53.519163763066103"/>
    <n v="300"/>
    <n v="1016.864111498256"/>
    <n v="1316.8641114982561"/>
  </r>
  <r>
    <x v="1"/>
    <x v="1"/>
    <x v="1"/>
    <x v="0"/>
    <x v="2"/>
    <x v="0"/>
    <n v="103.69337979094"/>
    <n v="0"/>
    <n v="1970.17421602786"/>
    <n v="1970.17421602786"/>
  </r>
  <r>
    <x v="1"/>
    <x v="1"/>
    <x v="1"/>
    <x v="0"/>
    <x v="2"/>
    <x v="1"/>
    <n v="68.571428571428498"/>
    <n v="90"/>
    <n v="1302.8571428571415"/>
    <n v="1392.8571428571415"/>
  </r>
  <r>
    <x v="1"/>
    <x v="1"/>
    <x v="1"/>
    <x v="0"/>
    <x v="2"/>
    <x v="2"/>
    <n v="59.790940766550499"/>
    <n v="270"/>
    <n v="1136.0278745644596"/>
    <n v="1406.0278745644596"/>
  </r>
  <r>
    <x v="1"/>
    <x v="1"/>
    <x v="1"/>
    <x v="0"/>
    <x v="2"/>
    <x v="3"/>
    <n v="50.1742160278745"/>
    <n v="540"/>
    <n v="953.3101045296155"/>
    <n v="1493.3101045296155"/>
  </r>
  <r>
    <x v="1"/>
    <x v="0"/>
    <x v="0"/>
    <x v="1"/>
    <x v="0"/>
    <x v="0"/>
    <n v="73.910034602076095"/>
    <n v="0"/>
    <n v="886.92041522491309"/>
    <n v="886.92041522491309"/>
  </r>
  <r>
    <x v="1"/>
    <x v="0"/>
    <x v="0"/>
    <x v="1"/>
    <x v="0"/>
    <x v="1"/>
    <n v="66.020761245674706"/>
    <n v="10"/>
    <n v="792.24913494809653"/>
    <n v="802.24913494809653"/>
  </r>
  <r>
    <x v="1"/>
    <x v="0"/>
    <x v="0"/>
    <x v="1"/>
    <x v="0"/>
    <x v="2"/>
    <n v="53.979238754325202"/>
    <n v="30"/>
    <n v="647.75086505190245"/>
    <n v="677.75086505190245"/>
  </r>
  <r>
    <x v="1"/>
    <x v="0"/>
    <x v="0"/>
    <x v="1"/>
    <x v="0"/>
    <x v="3"/>
    <n v="51.903114186851198"/>
    <n v="60"/>
    <n v="622.83737024221432"/>
    <n v="682.83737024221432"/>
  </r>
  <r>
    <x v="1"/>
    <x v="0"/>
    <x v="0"/>
    <x v="1"/>
    <x v="1"/>
    <x v="0"/>
    <n v="73.910034602076095"/>
    <n v="0"/>
    <n v="886.92041522491309"/>
    <n v="886.92041522491309"/>
  </r>
  <r>
    <x v="1"/>
    <x v="0"/>
    <x v="0"/>
    <x v="1"/>
    <x v="1"/>
    <x v="1"/>
    <n v="64.775086505190302"/>
    <n v="50"/>
    <n v="777.30103806228362"/>
    <n v="827.30103806228362"/>
  </r>
  <r>
    <x v="1"/>
    <x v="0"/>
    <x v="0"/>
    <x v="1"/>
    <x v="1"/>
    <x v="2"/>
    <n v="51.903114186851198"/>
    <n v="150"/>
    <n v="622.83737024221432"/>
    <n v="772.83737024221432"/>
  </r>
  <r>
    <x v="1"/>
    <x v="0"/>
    <x v="0"/>
    <x v="1"/>
    <x v="1"/>
    <x v="3"/>
    <n v="48.166089965397902"/>
    <n v="300"/>
    <n v="577.99307958477482"/>
    <n v="877.99307958477482"/>
  </r>
  <r>
    <x v="1"/>
    <x v="0"/>
    <x v="0"/>
    <x v="1"/>
    <x v="2"/>
    <x v="0"/>
    <n v="73.910034602076095"/>
    <n v="0"/>
    <n v="886.92041522491309"/>
    <n v="886.92041522491309"/>
  </r>
  <r>
    <x v="1"/>
    <x v="0"/>
    <x v="0"/>
    <x v="1"/>
    <x v="2"/>
    <x v="1"/>
    <n v="63.529411764705898"/>
    <n v="90"/>
    <n v="762.35294117647072"/>
    <n v="852.35294117647072"/>
  </r>
  <r>
    <x v="1"/>
    <x v="0"/>
    <x v="0"/>
    <x v="1"/>
    <x v="2"/>
    <x v="2"/>
    <n v="56.885813148788799"/>
    <n v="270"/>
    <n v="682.62975778546559"/>
    <n v="952.62975778546559"/>
  </r>
  <r>
    <x v="1"/>
    <x v="0"/>
    <x v="0"/>
    <x v="1"/>
    <x v="2"/>
    <x v="3"/>
    <n v="36.955017301037998"/>
    <n v="540"/>
    <n v="443.46020761245597"/>
    <n v="983.46020761245597"/>
  </r>
  <r>
    <x v="1"/>
    <x v="0"/>
    <x v="1"/>
    <x v="1"/>
    <x v="0"/>
    <x v="0"/>
    <n v="73.910034602076095"/>
    <n v="0"/>
    <n v="886.92041522491309"/>
    <n v="886.92041522491309"/>
  </r>
  <r>
    <x v="1"/>
    <x v="0"/>
    <x v="1"/>
    <x v="1"/>
    <x v="0"/>
    <x v="1"/>
    <n v="66.851211072664299"/>
    <n v="10"/>
    <n v="802.21453287197164"/>
    <n v="812.21453287197164"/>
  </r>
  <r>
    <x v="1"/>
    <x v="0"/>
    <x v="1"/>
    <x v="1"/>
    <x v="0"/>
    <x v="2"/>
    <n v="55.640138408304402"/>
    <n v="30"/>
    <n v="667.6816608996528"/>
    <n v="697.6816608996528"/>
  </r>
  <r>
    <x v="1"/>
    <x v="0"/>
    <x v="1"/>
    <x v="1"/>
    <x v="0"/>
    <x v="3"/>
    <n v="44.429065743944598"/>
    <n v="60"/>
    <n v="533.1487889273352"/>
    <n v="593.1487889273352"/>
  </r>
  <r>
    <x v="1"/>
    <x v="0"/>
    <x v="1"/>
    <x v="1"/>
    <x v="1"/>
    <x v="0"/>
    <n v="73.910034602076095"/>
    <n v="0"/>
    <n v="886.92041522491309"/>
    <n v="886.92041522491309"/>
  </r>
  <r>
    <x v="1"/>
    <x v="0"/>
    <x v="1"/>
    <x v="1"/>
    <x v="1"/>
    <x v="1"/>
    <n v="64.359861591695505"/>
    <n v="50"/>
    <n v="772.31833910034607"/>
    <n v="822.31833910034607"/>
  </r>
  <r>
    <x v="1"/>
    <x v="0"/>
    <x v="1"/>
    <x v="1"/>
    <x v="1"/>
    <x v="2"/>
    <n v="52.318339100346002"/>
    <n v="150"/>
    <n v="627.82006920415199"/>
    <n v="777.82006920415199"/>
  </r>
  <r>
    <x v="1"/>
    <x v="0"/>
    <x v="1"/>
    <x v="1"/>
    <x v="1"/>
    <x v="3"/>
    <n v="40.692041522491301"/>
    <n v="300"/>
    <n v="488.30449826989559"/>
    <n v="788.30449826989559"/>
  </r>
  <r>
    <x v="1"/>
    <x v="0"/>
    <x v="1"/>
    <x v="1"/>
    <x v="2"/>
    <x v="0"/>
    <n v="73.910034602076095"/>
    <n v="0"/>
    <n v="886.92041522491309"/>
    <n v="886.92041522491309"/>
  </r>
  <r>
    <x v="1"/>
    <x v="0"/>
    <x v="1"/>
    <x v="1"/>
    <x v="2"/>
    <x v="1"/>
    <n v="61.038062283736998"/>
    <n v="90"/>
    <n v="732.45674740484401"/>
    <n v="822.45674740484401"/>
  </r>
  <r>
    <x v="1"/>
    <x v="0"/>
    <x v="1"/>
    <x v="1"/>
    <x v="2"/>
    <x v="2"/>
    <n v="46.089965397923798"/>
    <n v="270"/>
    <n v="553.07958477508555"/>
    <n v="823.07958477508555"/>
  </r>
  <r>
    <x v="1"/>
    <x v="0"/>
    <x v="1"/>
    <x v="1"/>
    <x v="2"/>
    <x v="3"/>
    <n v="30.311418685121001"/>
    <n v="540"/>
    <n v="363.73702422145203"/>
    <n v="903.73702422145197"/>
  </r>
  <r>
    <x v="1"/>
    <x v="1"/>
    <x v="0"/>
    <x v="1"/>
    <x v="0"/>
    <x v="0"/>
    <n v="55.224913494809698"/>
    <n v="0"/>
    <n v="1049.2733564013843"/>
    <n v="1049.2733564013843"/>
  </r>
  <r>
    <x v="1"/>
    <x v="1"/>
    <x v="0"/>
    <x v="1"/>
    <x v="0"/>
    <x v="1"/>
    <n v="48.581314878892698"/>
    <n v="10"/>
    <n v="923.04498269896123"/>
    <n v="933.04498269896123"/>
  </r>
  <r>
    <x v="1"/>
    <x v="1"/>
    <x v="0"/>
    <x v="1"/>
    <x v="0"/>
    <x v="2"/>
    <n v="39.446366782006898"/>
    <n v="30"/>
    <n v="749.48096885813106"/>
    <n v="779.48096885813106"/>
  </r>
  <r>
    <x v="1"/>
    <x v="1"/>
    <x v="0"/>
    <x v="1"/>
    <x v="0"/>
    <x v="3"/>
    <n v="37.785467128027598"/>
    <n v="60"/>
    <n v="717.92387543252437"/>
    <n v="777.92387543252437"/>
  </r>
  <r>
    <x v="1"/>
    <x v="1"/>
    <x v="0"/>
    <x v="1"/>
    <x v="1"/>
    <x v="0"/>
    <n v="55.224913494809698"/>
    <n v="0"/>
    <n v="1049.2733564013843"/>
    <n v="1049.2733564013843"/>
  </r>
  <r>
    <x v="1"/>
    <x v="1"/>
    <x v="0"/>
    <x v="1"/>
    <x v="1"/>
    <x v="1"/>
    <n v="46.505190311418602"/>
    <n v="50"/>
    <n v="883.59861591695346"/>
    <n v="933.59861591695346"/>
  </r>
  <r>
    <x v="1"/>
    <x v="1"/>
    <x v="0"/>
    <x v="1"/>
    <x v="1"/>
    <x v="2"/>
    <n v="37.785467128027598"/>
    <n v="150"/>
    <n v="717.92387543252437"/>
    <n v="867.92387543252437"/>
  </r>
  <r>
    <x v="1"/>
    <x v="1"/>
    <x v="0"/>
    <x v="1"/>
    <x v="1"/>
    <x v="3"/>
    <n v="33.633217993079597"/>
    <n v="300"/>
    <n v="639.03114186851235"/>
    <n v="939.03114186851235"/>
  </r>
  <r>
    <x v="1"/>
    <x v="1"/>
    <x v="0"/>
    <x v="1"/>
    <x v="2"/>
    <x v="0"/>
    <n v="55.224913494809698"/>
    <n v="0"/>
    <n v="1049.2733564013843"/>
    <n v="1049.2733564013843"/>
  </r>
  <r>
    <x v="1"/>
    <x v="1"/>
    <x v="0"/>
    <x v="1"/>
    <x v="2"/>
    <x v="1"/>
    <n v="44.429065743944598"/>
    <n v="90"/>
    <n v="844.1522491349474"/>
    <n v="934.1522491349474"/>
  </r>
  <r>
    <x v="1"/>
    <x v="1"/>
    <x v="0"/>
    <x v="1"/>
    <x v="2"/>
    <x v="2"/>
    <n v="36.539792387543201"/>
    <n v="270"/>
    <n v="694.2560553633208"/>
    <n v="964.2560553633208"/>
  </r>
  <r>
    <x v="1"/>
    <x v="1"/>
    <x v="0"/>
    <x v="1"/>
    <x v="2"/>
    <x v="3"/>
    <n v="26.989619377162601"/>
    <n v="540"/>
    <n v="512.80276816608944"/>
    <n v="1052.8027681660894"/>
  </r>
  <r>
    <x v="1"/>
    <x v="1"/>
    <x v="1"/>
    <x v="1"/>
    <x v="0"/>
    <x v="0"/>
    <n v="56.470588235294002"/>
    <n v="0"/>
    <n v="1072.941176470586"/>
    <n v="1072.941176470586"/>
  </r>
  <r>
    <x v="1"/>
    <x v="1"/>
    <x v="1"/>
    <x v="1"/>
    <x v="0"/>
    <x v="1"/>
    <n v="45.674740484429002"/>
    <n v="10"/>
    <n v="867.82006920415108"/>
    <n v="877.82006920415108"/>
  </r>
  <r>
    <x v="1"/>
    <x v="1"/>
    <x v="1"/>
    <x v="1"/>
    <x v="0"/>
    <x v="2"/>
    <n v="44.013840830449702"/>
    <n v="30"/>
    <n v="836.26297577854439"/>
    <n v="866.26297577854439"/>
  </r>
  <r>
    <x v="1"/>
    <x v="1"/>
    <x v="1"/>
    <x v="1"/>
    <x v="0"/>
    <x v="3"/>
    <n v="34.048442906574302"/>
    <n v="60"/>
    <n v="646.92041522491172"/>
    <n v="706.92041522491172"/>
  </r>
  <r>
    <x v="1"/>
    <x v="1"/>
    <x v="1"/>
    <x v="1"/>
    <x v="1"/>
    <x v="0"/>
    <n v="56.055363321799199"/>
    <n v="0"/>
    <n v="1065.0519031141848"/>
    <n v="1065.0519031141848"/>
  </r>
  <r>
    <x v="1"/>
    <x v="1"/>
    <x v="1"/>
    <x v="1"/>
    <x v="1"/>
    <x v="1"/>
    <n v="45.259515570934198"/>
    <n v="50"/>
    <n v="859.93079584774978"/>
    <n v="909.93079584774978"/>
  </r>
  <r>
    <x v="1"/>
    <x v="1"/>
    <x v="1"/>
    <x v="1"/>
    <x v="1"/>
    <x v="2"/>
    <n v="36.539792387543201"/>
    <n v="150"/>
    <n v="694.2560553633208"/>
    <n v="844.2560553633208"/>
  </r>
  <r>
    <x v="1"/>
    <x v="1"/>
    <x v="1"/>
    <x v="1"/>
    <x v="1"/>
    <x v="3"/>
    <n v="29.065743944636601"/>
    <n v="300"/>
    <n v="552.24913494809539"/>
    <n v="852.24913494809539"/>
  </r>
  <r>
    <x v="1"/>
    <x v="1"/>
    <x v="1"/>
    <x v="1"/>
    <x v="2"/>
    <x v="0"/>
    <n v="56.055363321799199"/>
    <n v="0"/>
    <n v="1065.0519031141848"/>
    <n v="1065.0519031141848"/>
  </r>
  <r>
    <x v="1"/>
    <x v="1"/>
    <x v="1"/>
    <x v="1"/>
    <x v="2"/>
    <x v="1"/>
    <n v="45.259515570934198"/>
    <n v="90"/>
    <n v="859.93079584774978"/>
    <n v="949.93079584774978"/>
  </r>
  <r>
    <x v="1"/>
    <x v="1"/>
    <x v="1"/>
    <x v="1"/>
    <x v="2"/>
    <x v="2"/>
    <n v="36.539792387543201"/>
    <n v="270"/>
    <n v="694.2560553633208"/>
    <n v="964.2560553633208"/>
  </r>
  <r>
    <x v="1"/>
    <x v="1"/>
    <x v="1"/>
    <x v="1"/>
    <x v="2"/>
    <x v="3"/>
    <n v="20.761245674740501"/>
    <n v="540"/>
    <n v="394.46366782006953"/>
    <n v="934.463667820069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3E446-462B-432F-9934-87726A4E5691}" name="PivotTable1" cacheId="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 chartFormat="12">
  <location ref="A4:H10" firstHeaderRow="1" firstDataRow="3" firstDataCol="2" rowPageCount="2" colPageCount="1"/>
  <pivotFields count="10">
    <pivotField axis="axisPage" compact="0" outline="0" showAll="0">
      <items count="3">
        <item x="1"/>
        <item x="0"/>
        <item t="default"/>
      </items>
    </pivotField>
    <pivotField axis="axisRow" compact="0" outline="0" showAll="0" defaultSubtotal="0">
      <items count="2">
        <item x="0"/>
        <item x="1"/>
      </items>
    </pivotField>
    <pivotField axis="axisCol" compact="0" outline="0" showAll="0">
      <items count="3">
        <item x="0"/>
        <item x="1"/>
        <item t="default"/>
      </items>
    </pivotField>
    <pivotField axis="axisRow" compact="0" outline="0" showAll="0" defaultSubtotal="0">
      <items count="2">
        <item x="0"/>
        <item x="1"/>
      </items>
    </pivotField>
    <pivotField axis="axisCol" compact="0" outline="0" showAll="0" defaultSubtotal="0">
      <items count="3">
        <item x="0"/>
        <item x="1"/>
        <item x="2"/>
      </items>
    </pivotField>
    <pivotField axis="axisPage" compact="0" outline="0" multipleItemSelectionAllowed="1" showAll="0">
      <items count="5">
        <item x="0"/>
        <item h="1" x="1"/>
        <item h="1" x="2"/>
        <item h="1" x="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1"/>
    <field x="3"/>
  </rowFields>
  <rowItems count="4">
    <i>
      <x/>
      <x/>
    </i>
    <i r="1">
      <x v="1"/>
    </i>
    <i>
      <x v="1"/>
      <x/>
    </i>
    <i r="1">
      <x v="1"/>
    </i>
  </rowItems>
  <colFields count="2">
    <field x="4"/>
    <field x="2"/>
  </colFields>
  <colItems count="6">
    <i>
      <x/>
      <x/>
    </i>
    <i r="1">
      <x v="1"/>
    </i>
    <i>
      <x v="1"/>
      <x/>
    </i>
    <i r="1">
      <x v="1"/>
    </i>
    <i>
      <x v="2"/>
      <x/>
    </i>
    <i r="1">
      <x v="1"/>
    </i>
  </colItems>
  <pageFields count="2">
    <pageField fld="0" item="1" hier="-1"/>
    <pageField fld="5" hier="-1"/>
  </pageFields>
  <dataFields count="1">
    <dataField name="Average of TtFirstFlower" fld="9" subtotal="average" baseField="0" baseItem="0"/>
  </dataFields>
  <chartFormats count="66">
    <chartFormat chart="10" format="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1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1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1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1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1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1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1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1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2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2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2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2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2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2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2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2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2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2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3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3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3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3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3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3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3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3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3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3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4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4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4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4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4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4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4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4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48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49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1" format="50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51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1" format="52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53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1" format="54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55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1" format="56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57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1" format="58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59" series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1" format="6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</references>
      </pivotArea>
    </chartFormat>
    <chartFormat chart="11" format="61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</references>
      </pivotArea>
    </chartFormat>
    <chartFormat chart="11" format="62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</references>
      </pivotArea>
    </chartFormat>
    <chartFormat chart="11" format="63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</references>
      </pivotArea>
    </chartFormat>
    <chartFormat chart="11" format="64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</references>
      </pivotArea>
    </chartFormat>
    <chartFormat chart="11" format="6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02DE0D-28D1-43B4-B531-73E70B6B2626}" name="PivotTable1" cacheId="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 chartFormat="11">
  <location ref="A3:M11" firstHeaderRow="1" firstDataRow="5" firstDataCol="1" rowPageCount="1" colPageCount="1"/>
  <pivotFields count="10">
    <pivotField axis="axisPage" compact="0" outline="0" showAll="0">
      <items count="3">
        <item x="1"/>
        <item x="0"/>
        <item t="default"/>
      </items>
    </pivotField>
    <pivotField axis="axisCol" compact="0" outline="0" showAll="0" defaultSubtotal="0">
      <items count="2">
        <item x="0"/>
        <item h="1" x="1"/>
      </items>
    </pivotField>
    <pivotField axis="axisCol" compact="0" outline="0" showAll="0">
      <items count="3">
        <item x="0"/>
        <item x="1"/>
        <item t="default"/>
      </items>
    </pivotField>
    <pivotField axis="axisCol" compact="0" outline="0" showAll="0" defaultSubtotal="0">
      <items count="2">
        <item h="1" x="0"/>
        <item x="1"/>
      </items>
    </pivotField>
    <pivotField axis="axisCol" compact="0" outline="0" showAll="0" defaultSubtotal="0">
      <items count="3">
        <item x="0"/>
        <item x="1"/>
        <item x="2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5"/>
  </rowFields>
  <rowItems count="4">
    <i>
      <x/>
    </i>
    <i>
      <x v="1"/>
    </i>
    <i>
      <x v="2"/>
    </i>
    <i>
      <x v="3"/>
    </i>
  </rowItems>
  <colFields count="4">
    <field x="4"/>
    <field x="2"/>
    <field x="1"/>
    <field x="3"/>
  </colFields>
  <colItems count="12">
    <i>
      <x/>
      <x/>
      <x/>
      <x v="1"/>
    </i>
    <i t="default" r="1">
      <x/>
    </i>
    <i r="1">
      <x v="1"/>
      <x/>
      <x v="1"/>
    </i>
    <i t="default" r="1">
      <x v="1"/>
    </i>
    <i>
      <x v="1"/>
      <x/>
      <x/>
      <x v="1"/>
    </i>
    <i t="default" r="1">
      <x/>
    </i>
    <i r="1">
      <x v="1"/>
      <x/>
      <x v="1"/>
    </i>
    <i t="default" r="1">
      <x v="1"/>
    </i>
    <i>
      <x v="2"/>
      <x/>
      <x/>
      <x v="1"/>
    </i>
    <i t="default" r="1">
      <x/>
    </i>
    <i r="1">
      <x v="1"/>
      <x/>
      <x v="1"/>
    </i>
    <i t="default" r="1">
      <x v="1"/>
    </i>
  </colItems>
  <pageFields count="1">
    <pageField fld="0" item="1" hier="-1"/>
  </pageFields>
  <dataFields count="1">
    <dataField name="Average of TtFirstFlower" fld="9" subtotal="average" baseField="0" baseItem="0"/>
  </dataFields>
  <chartFormats count="24">
    <chartFormat chart="10" format="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1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1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1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10" format="1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15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"/>
          </reference>
        </references>
      </pivotArea>
    </chartFormat>
    <chartFormat chart="10" format="1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17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2"/>
          </reference>
        </references>
      </pivotArea>
    </chartFormat>
    <chartFormat chart="10" format="1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19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10" format="2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21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"/>
          </reference>
        </references>
      </pivotArea>
    </chartFormat>
    <chartFormat chart="10" format="2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  <chartFormat chart="10" format="23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E4246-4EAB-44E7-BD0B-2DD4978C0883}">
  <dimension ref="A1:H10"/>
  <sheetViews>
    <sheetView workbookViewId="0">
      <selection activeCell="B10" sqref="B10"/>
    </sheetView>
  </sheetViews>
  <sheetFormatPr defaultRowHeight="15" x14ac:dyDescent="0.25"/>
  <cols>
    <col min="1" max="1" width="31.42578125" bestFit="1" customWidth="1"/>
    <col min="2" max="2" width="33.7109375" bestFit="1" customWidth="1"/>
    <col min="3" max="25" width="38.140625" bestFit="1" customWidth="1"/>
  </cols>
  <sheetData>
    <row r="1" spans="1:8" x14ac:dyDescent="0.25">
      <c r="A1" s="1" t="s">
        <v>2</v>
      </c>
      <c r="B1" t="s">
        <v>3</v>
      </c>
    </row>
    <row r="2" spans="1:8" x14ac:dyDescent="0.25">
      <c r="A2" s="1" t="s">
        <v>0</v>
      </c>
      <c r="B2" s="3">
        <v>0</v>
      </c>
    </row>
    <row r="4" spans="1:8" x14ac:dyDescent="0.25">
      <c r="A4" s="1" t="s">
        <v>13</v>
      </c>
      <c r="C4" s="1" t="s">
        <v>7</v>
      </c>
      <c r="D4" s="1" t="s">
        <v>5</v>
      </c>
    </row>
    <row r="5" spans="1:8" x14ac:dyDescent="0.25">
      <c r="C5">
        <v>1</v>
      </c>
      <c r="E5">
        <v>5</v>
      </c>
      <c r="G5">
        <v>9</v>
      </c>
    </row>
    <row r="6" spans="1:8" x14ac:dyDescent="0.25">
      <c r="A6" s="1" t="s">
        <v>4</v>
      </c>
      <c r="B6" s="1" t="s">
        <v>6</v>
      </c>
      <c r="C6">
        <v>8</v>
      </c>
      <c r="D6">
        <v>16</v>
      </c>
      <c r="E6">
        <v>8</v>
      </c>
      <c r="F6">
        <v>16</v>
      </c>
      <c r="G6">
        <v>8</v>
      </c>
      <c r="H6">
        <v>16</v>
      </c>
    </row>
    <row r="7" spans="1:8" x14ac:dyDescent="0.25">
      <c r="A7">
        <v>12</v>
      </c>
      <c r="B7">
        <v>11</v>
      </c>
      <c r="C7" s="2">
        <v>716.98831674599751</v>
      </c>
      <c r="D7" s="2">
        <v>715.10533967979131</v>
      </c>
      <c r="E7" s="2">
        <v>710.9130246646464</v>
      </c>
      <c r="F7" s="2">
        <v>715.10533967979131</v>
      </c>
      <c r="G7" s="2">
        <v>710.96495023799162</v>
      </c>
      <c r="H7" s="2">
        <v>715.10533967979131</v>
      </c>
    </row>
    <row r="8" spans="1:8" x14ac:dyDescent="0.25">
      <c r="B8">
        <v>16</v>
      </c>
      <c r="C8" s="2">
        <v>629.2274818007304</v>
      </c>
      <c r="D8" s="2">
        <v>639.50528557458847</v>
      </c>
      <c r="E8" s="2">
        <v>629.27963492810761</v>
      </c>
      <c r="F8" s="2">
        <v>633.45552279888352</v>
      </c>
      <c r="G8" s="2">
        <v>629.2274818007304</v>
      </c>
      <c r="H8" s="2">
        <v>627.40576002317766</v>
      </c>
    </row>
    <row r="9" spans="1:8" x14ac:dyDescent="0.25">
      <c r="A9">
        <v>19</v>
      </c>
      <c r="B9">
        <v>11</v>
      </c>
      <c r="C9" s="2">
        <v>773.35787970575325</v>
      </c>
      <c r="D9" s="2">
        <v>751.03028991778319</v>
      </c>
      <c r="E9" s="2">
        <v>773.35787970575325</v>
      </c>
      <c r="F9" s="2">
        <v>751.03028991778319</v>
      </c>
      <c r="G9" s="2">
        <v>773.35787970575325</v>
      </c>
      <c r="H9" s="2">
        <v>751.03028991778319</v>
      </c>
    </row>
    <row r="10" spans="1:8" x14ac:dyDescent="0.25">
      <c r="B10">
        <v>16</v>
      </c>
      <c r="C10" s="2">
        <v>569.04125384810015</v>
      </c>
      <c r="D10" s="2">
        <v>556.47064575712284</v>
      </c>
      <c r="E10" s="2">
        <v>569.04125384810015</v>
      </c>
      <c r="F10" s="2">
        <v>556.47064575712284</v>
      </c>
      <c r="G10" s="2">
        <v>569.04125384810015</v>
      </c>
      <c r="H10" s="2">
        <v>556.47064575712284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9F67-350A-4A4E-A34F-2A2058067068}">
  <dimension ref="A1:M11"/>
  <sheetViews>
    <sheetView workbookViewId="0">
      <selection activeCell="B10" sqref="B10"/>
    </sheetView>
  </sheetViews>
  <sheetFormatPr defaultRowHeight="15" x14ac:dyDescent="0.25"/>
  <cols>
    <col min="1" max="1" width="34.5703125" bestFit="1" customWidth="1"/>
    <col min="2" max="2" width="38.140625" bestFit="1" customWidth="1"/>
    <col min="3" max="3" width="29.85546875" bestFit="1" customWidth="1"/>
    <col min="4" max="4" width="28.7109375" bestFit="1" customWidth="1"/>
    <col min="5" max="5" width="33.7109375" bestFit="1" customWidth="1"/>
    <col min="6" max="13" width="12" bestFit="1" customWidth="1"/>
    <col min="14" max="25" width="38.140625" bestFit="1" customWidth="1"/>
  </cols>
  <sheetData>
    <row r="1" spans="1:13" x14ac:dyDescent="0.25">
      <c r="A1" s="1" t="s">
        <v>2</v>
      </c>
      <c r="B1" t="s">
        <v>3</v>
      </c>
    </row>
    <row r="3" spans="1:13" x14ac:dyDescent="0.25">
      <c r="A3" s="1" t="s">
        <v>13</v>
      </c>
      <c r="B3" s="1" t="s">
        <v>7</v>
      </c>
      <c r="C3" s="1" t="s">
        <v>5</v>
      </c>
      <c r="D3" s="1" t="s">
        <v>4</v>
      </c>
      <c r="E3" s="1" t="s">
        <v>6</v>
      </c>
    </row>
    <row r="4" spans="1:13" x14ac:dyDescent="0.25">
      <c r="B4">
        <v>1</v>
      </c>
      <c r="F4">
        <v>5</v>
      </c>
      <c r="J4">
        <v>9</v>
      </c>
    </row>
    <row r="5" spans="1:13" x14ac:dyDescent="0.25">
      <c r="B5">
        <v>8</v>
      </c>
      <c r="C5" t="s">
        <v>14</v>
      </c>
      <c r="D5">
        <v>16</v>
      </c>
      <c r="E5" t="s">
        <v>12</v>
      </c>
      <c r="F5">
        <v>8</v>
      </c>
      <c r="G5" t="s">
        <v>14</v>
      </c>
      <c r="H5">
        <v>16</v>
      </c>
      <c r="I5" t="s">
        <v>12</v>
      </c>
      <c r="J5">
        <v>8</v>
      </c>
      <c r="K5" t="s">
        <v>14</v>
      </c>
      <c r="L5">
        <v>16</v>
      </c>
      <c r="M5" t="s">
        <v>12</v>
      </c>
    </row>
    <row r="6" spans="1:13" x14ac:dyDescent="0.25">
      <c r="B6">
        <v>12</v>
      </c>
      <c r="D6">
        <v>12</v>
      </c>
      <c r="F6">
        <v>12</v>
      </c>
      <c r="H6">
        <v>12</v>
      </c>
      <c r="J6">
        <v>12</v>
      </c>
      <c r="L6">
        <v>12</v>
      </c>
    </row>
    <row r="7" spans="1:13" x14ac:dyDescent="0.25">
      <c r="A7" s="1" t="s">
        <v>0</v>
      </c>
      <c r="B7">
        <v>16</v>
      </c>
      <c r="D7">
        <v>16</v>
      </c>
      <c r="F7">
        <v>16</v>
      </c>
      <c r="H7">
        <v>16</v>
      </c>
      <c r="J7">
        <v>16</v>
      </c>
      <c r="L7">
        <v>16</v>
      </c>
    </row>
    <row r="8" spans="1:13" x14ac:dyDescent="0.25">
      <c r="A8">
        <v>0</v>
      </c>
      <c r="B8" s="2">
        <v>629.2274818007304</v>
      </c>
      <c r="C8" s="2">
        <v>629.2274818007304</v>
      </c>
      <c r="D8" s="2">
        <v>639.50528557458847</v>
      </c>
      <c r="E8" s="2">
        <v>639.50528557458847</v>
      </c>
      <c r="F8" s="2">
        <v>629.27963492810761</v>
      </c>
      <c r="G8" s="2">
        <v>629.27963492810761</v>
      </c>
      <c r="H8" s="2">
        <v>633.45552279888352</v>
      </c>
      <c r="I8" s="2">
        <v>633.45552279888352</v>
      </c>
      <c r="J8" s="2">
        <v>629.2274818007304</v>
      </c>
      <c r="K8" s="2">
        <v>629.2274818007304</v>
      </c>
      <c r="L8" s="2">
        <v>627.40576002317766</v>
      </c>
      <c r="M8" s="2">
        <v>627.40576002317766</v>
      </c>
    </row>
    <row r="9" spans="1:13" x14ac:dyDescent="0.25">
      <c r="A9">
        <v>10</v>
      </c>
      <c r="B9" s="2">
        <v>579.66861033646001</v>
      </c>
      <c r="C9" s="2">
        <v>579.66861033646001</v>
      </c>
      <c r="D9" s="2">
        <v>565.79951613487242</v>
      </c>
      <c r="E9" s="2">
        <v>565.79951613487242</v>
      </c>
      <c r="F9" s="2">
        <v>577.37242403389882</v>
      </c>
      <c r="G9" s="2">
        <v>577.37242403389882</v>
      </c>
      <c r="H9" s="2">
        <v>593.69999058346161</v>
      </c>
      <c r="I9" s="2">
        <v>593.69999058346161</v>
      </c>
      <c r="J9" s="2">
        <v>623.37003368222759</v>
      </c>
      <c r="K9" s="2">
        <v>623.37003368222759</v>
      </c>
      <c r="L9" s="2">
        <v>609.44878635326404</v>
      </c>
      <c r="M9" s="2">
        <v>609.44878635326404</v>
      </c>
    </row>
    <row r="10" spans="1:13" x14ac:dyDescent="0.25">
      <c r="A10">
        <v>30</v>
      </c>
      <c r="B10" s="2">
        <v>505.01068414762199</v>
      </c>
      <c r="C10" s="2">
        <v>505.01068414762199</v>
      </c>
      <c r="D10" s="2">
        <v>472.8879953641644</v>
      </c>
      <c r="E10" s="2">
        <v>472.8879953641644</v>
      </c>
      <c r="F10" s="2">
        <v>606.80924269312914</v>
      </c>
      <c r="G10" s="2">
        <v>606.80924269312914</v>
      </c>
      <c r="H10" s="2">
        <v>580.73631668537882</v>
      </c>
      <c r="I10" s="2">
        <v>580.73631668537882</v>
      </c>
      <c r="J10" s="2">
        <v>714.70971714171833</v>
      </c>
      <c r="K10" s="2">
        <v>714.70971714171833</v>
      </c>
      <c r="L10" s="2">
        <v>603.94011227409237</v>
      </c>
      <c r="M10" s="2">
        <v>603.94011227409237</v>
      </c>
    </row>
    <row r="11" spans="1:13" x14ac:dyDescent="0.25">
      <c r="A11">
        <v>60</v>
      </c>
      <c r="B11" s="2">
        <v>477.48578465104322</v>
      </c>
      <c r="C11" s="2">
        <v>477.48578465104322</v>
      </c>
      <c r="D11" s="2">
        <v>427.26596066784839</v>
      </c>
      <c r="E11" s="2">
        <v>427.26596066784839</v>
      </c>
      <c r="F11" s="2">
        <v>675.13744522110596</v>
      </c>
      <c r="G11" s="2">
        <v>675.13744522110596</v>
      </c>
      <c r="H11" s="2">
        <v>624.91762123791113</v>
      </c>
      <c r="I11" s="2">
        <v>624.91762123791113</v>
      </c>
      <c r="J11" s="2">
        <v>812.29147803411479</v>
      </c>
      <c r="K11" s="2">
        <v>812.29147803411479</v>
      </c>
      <c r="L11" s="2">
        <v>659.12138060917562</v>
      </c>
      <c r="M11" s="2">
        <v>659.12138060917562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K194"/>
  <sheetViews>
    <sheetView tabSelected="1" workbookViewId="0">
      <selection activeCell="C4" sqref="C4"/>
    </sheetView>
  </sheetViews>
  <sheetFormatPr defaultRowHeight="15" x14ac:dyDescent="0.25"/>
  <cols>
    <col min="1" max="1" width="16.85546875" bestFit="1" customWidth="1"/>
    <col min="6" max="6" width="13.42578125" customWidth="1"/>
  </cols>
  <sheetData>
    <row r="1" spans="1:11" x14ac:dyDescent="0.25">
      <c r="A1" t="s">
        <v>15</v>
      </c>
      <c r="B1" t="s">
        <v>2</v>
      </c>
      <c r="C1" t="s">
        <v>4</v>
      </c>
      <c r="D1" t="s">
        <v>5</v>
      </c>
      <c r="E1" t="s">
        <v>6</v>
      </c>
      <c r="F1" t="s">
        <v>7</v>
      </c>
      <c r="G1" t="s">
        <v>0</v>
      </c>
      <c r="H1" t="s">
        <v>1</v>
      </c>
      <c r="I1" t="s">
        <v>9</v>
      </c>
      <c r="J1" t="s">
        <v>10</v>
      </c>
      <c r="K1" t="s">
        <v>11</v>
      </c>
    </row>
    <row r="2" spans="1:11" x14ac:dyDescent="0.25">
      <c r="A2" t="s">
        <v>15</v>
      </c>
      <c r="B2" t="s">
        <v>2</v>
      </c>
      <c r="C2" t="s">
        <v>208</v>
      </c>
      <c r="D2" t="s">
        <v>209</v>
      </c>
      <c r="E2" t="s">
        <v>210</v>
      </c>
      <c r="F2" t="s">
        <v>211</v>
      </c>
      <c r="G2" t="s">
        <v>212</v>
      </c>
      <c r="H2" t="s">
        <v>213</v>
      </c>
      <c r="I2" t="s">
        <v>9</v>
      </c>
      <c r="J2" t="s">
        <v>10</v>
      </c>
      <c r="K2" t="s">
        <v>11</v>
      </c>
    </row>
    <row r="3" spans="1:11" x14ac:dyDescent="0.25">
      <c r="A3" t="s">
        <v>16</v>
      </c>
      <c r="B3" t="s">
        <v>3</v>
      </c>
      <c r="C3">
        <v>12</v>
      </c>
      <c r="D3">
        <v>8</v>
      </c>
      <c r="E3">
        <v>11</v>
      </c>
      <c r="F3">
        <v>1</v>
      </c>
      <c r="G3">
        <v>0</v>
      </c>
      <c r="H3">
        <v>59.749026395499797</v>
      </c>
      <c r="I3">
        <f>F3*G3</f>
        <v>0</v>
      </c>
      <c r="J3">
        <f>H3*C3</f>
        <v>716.98831674599751</v>
      </c>
      <c r="K3">
        <f>J3+I3</f>
        <v>716.98831674599751</v>
      </c>
    </row>
    <row r="4" spans="1:11" x14ac:dyDescent="0.25">
      <c r="A4" t="s">
        <v>17</v>
      </c>
      <c r="B4" t="str">
        <f>B3</f>
        <v>Percoz</v>
      </c>
      <c r="C4">
        <f t="shared" ref="C4:E4" si="0">C3</f>
        <v>12</v>
      </c>
      <c r="D4">
        <f t="shared" si="0"/>
        <v>8</v>
      </c>
      <c r="E4">
        <f t="shared" si="0"/>
        <v>11</v>
      </c>
      <c r="F4">
        <v>1</v>
      </c>
      <c r="G4">
        <v>10</v>
      </c>
      <c r="H4">
        <v>52.237126784941601</v>
      </c>
      <c r="I4">
        <f t="shared" ref="I4:I67" si="1">F4*G4</f>
        <v>10</v>
      </c>
      <c r="J4">
        <f t="shared" ref="J4:J67" si="2">H4*C4</f>
        <v>626.84552141929919</v>
      </c>
      <c r="K4">
        <f t="shared" ref="K4:K67" si="3">J4+I4</f>
        <v>636.84552141929919</v>
      </c>
    </row>
    <row r="5" spans="1:11" x14ac:dyDescent="0.25">
      <c r="A5" t="s">
        <v>18</v>
      </c>
      <c r="B5" t="str">
        <f t="shared" ref="B5:B14" si="4">B4</f>
        <v>Percoz</v>
      </c>
      <c r="C5">
        <f t="shared" ref="C5:C14" si="5">C4</f>
        <v>12</v>
      </c>
      <c r="D5">
        <f t="shared" ref="D5:D14" si="6">D4</f>
        <v>8</v>
      </c>
      <c r="E5">
        <f t="shared" ref="E5:E14" si="7">E4</f>
        <v>11</v>
      </c>
      <c r="F5">
        <v>1</v>
      </c>
      <c r="G5">
        <v>30</v>
      </c>
      <c r="H5">
        <v>44.811769796624802</v>
      </c>
      <c r="I5">
        <f t="shared" si="1"/>
        <v>30</v>
      </c>
      <c r="J5">
        <f t="shared" si="2"/>
        <v>537.74123755949768</v>
      </c>
      <c r="K5">
        <f t="shared" si="3"/>
        <v>567.74123755949768</v>
      </c>
    </row>
    <row r="6" spans="1:11" x14ac:dyDescent="0.25">
      <c r="A6" t="s">
        <v>19</v>
      </c>
      <c r="B6" t="str">
        <f t="shared" si="4"/>
        <v>Percoz</v>
      </c>
      <c r="C6">
        <f t="shared" si="5"/>
        <v>12</v>
      </c>
      <c r="D6">
        <f t="shared" si="6"/>
        <v>8</v>
      </c>
      <c r="E6">
        <f t="shared" si="7"/>
        <v>11</v>
      </c>
      <c r="F6">
        <v>1</v>
      </c>
      <c r="G6">
        <v>60</v>
      </c>
      <c r="H6">
        <v>37.979229770662002</v>
      </c>
      <c r="I6">
        <f t="shared" si="1"/>
        <v>60</v>
      </c>
      <c r="J6">
        <f t="shared" si="2"/>
        <v>455.75075724794402</v>
      </c>
      <c r="K6">
        <f t="shared" si="3"/>
        <v>515.75075724794397</v>
      </c>
    </row>
    <row r="7" spans="1:11" x14ac:dyDescent="0.25">
      <c r="A7" t="s">
        <v>20</v>
      </c>
      <c r="B7" t="str">
        <f t="shared" si="4"/>
        <v>Percoz</v>
      </c>
      <c r="C7">
        <f t="shared" si="5"/>
        <v>12</v>
      </c>
      <c r="D7">
        <f t="shared" si="6"/>
        <v>8</v>
      </c>
      <c r="E7">
        <f t="shared" si="7"/>
        <v>11</v>
      </c>
      <c r="F7">
        <v>5</v>
      </c>
      <c r="G7">
        <v>0</v>
      </c>
      <c r="H7">
        <v>59.2427520553872</v>
      </c>
      <c r="I7">
        <f t="shared" si="1"/>
        <v>0</v>
      </c>
      <c r="J7">
        <f t="shared" si="2"/>
        <v>710.9130246646464</v>
      </c>
      <c r="K7">
        <f t="shared" si="3"/>
        <v>710.9130246646464</v>
      </c>
    </row>
    <row r="8" spans="1:11" x14ac:dyDescent="0.25">
      <c r="A8" t="s">
        <v>21</v>
      </c>
      <c r="B8" t="str">
        <f t="shared" si="4"/>
        <v>Percoz</v>
      </c>
      <c r="C8">
        <f t="shared" si="5"/>
        <v>12</v>
      </c>
      <c r="D8">
        <f t="shared" si="6"/>
        <v>8</v>
      </c>
      <c r="E8">
        <f t="shared" si="7"/>
        <v>11</v>
      </c>
      <c r="F8">
        <v>5</v>
      </c>
      <c r="G8">
        <v>10</v>
      </c>
      <c r="H8">
        <v>50.212029424491497</v>
      </c>
      <c r="I8">
        <f t="shared" si="1"/>
        <v>50</v>
      </c>
      <c r="J8">
        <f t="shared" si="2"/>
        <v>602.54435309389794</v>
      </c>
      <c r="K8">
        <f t="shared" si="3"/>
        <v>652.54435309389794</v>
      </c>
    </row>
    <row r="9" spans="1:11" x14ac:dyDescent="0.25">
      <c r="A9" t="s">
        <v>22</v>
      </c>
      <c r="B9" t="str">
        <f t="shared" si="4"/>
        <v>Percoz</v>
      </c>
      <c r="C9">
        <f t="shared" si="5"/>
        <v>12</v>
      </c>
      <c r="D9">
        <f t="shared" si="6"/>
        <v>8</v>
      </c>
      <c r="E9">
        <f t="shared" si="7"/>
        <v>11</v>
      </c>
      <c r="F9">
        <v>5</v>
      </c>
      <c r="G9">
        <v>30</v>
      </c>
      <c r="H9">
        <v>39.2427520553872</v>
      </c>
      <c r="I9">
        <f t="shared" si="1"/>
        <v>150</v>
      </c>
      <c r="J9">
        <f t="shared" si="2"/>
        <v>470.9130246646464</v>
      </c>
      <c r="K9">
        <f t="shared" si="3"/>
        <v>620.9130246646464</v>
      </c>
    </row>
    <row r="10" spans="1:11" x14ac:dyDescent="0.25">
      <c r="A10" t="s">
        <v>23</v>
      </c>
      <c r="B10" t="str">
        <f t="shared" si="4"/>
        <v>Percoz</v>
      </c>
      <c r="C10">
        <f t="shared" si="5"/>
        <v>12</v>
      </c>
      <c r="D10">
        <f t="shared" si="6"/>
        <v>8</v>
      </c>
      <c r="E10">
        <f t="shared" si="7"/>
        <v>11</v>
      </c>
      <c r="F10">
        <v>5</v>
      </c>
      <c r="G10">
        <v>60</v>
      </c>
      <c r="H10">
        <v>34.435309389874497</v>
      </c>
      <c r="I10">
        <f t="shared" si="1"/>
        <v>300</v>
      </c>
      <c r="J10">
        <f t="shared" si="2"/>
        <v>413.22371267849394</v>
      </c>
      <c r="K10">
        <f t="shared" si="3"/>
        <v>713.22371267849394</v>
      </c>
    </row>
    <row r="11" spans="1:11" x14ac:dyDescent="0.25">
      <c r="A11" t="s">
        <v>24</v>
      </c>
      <c r="B11" t="str">
        <f t="shared" si="4"/>
        <v>Percoz</v>
      </c>
      <c r="C11">
        <f t="shared" si="5"/>
        <v>12</v>
      </c>
      <c r="D11">
        <f t="shared" si="6"/>
        <v>8</v>
      </c>
      <c r="E11">
        <f t="shared" si="7"/>
        <v>11</v>
      </c>
      <c r="F11">
        <v>9</v>
      </c>
      <c r="G11">
        <v>0</v>
      </c>
      <c r="H11">
        <v>59.247079186499299</v>
      </c>
      <c r="I11">
        <f t="shared" si="1"/>
        <v>0</v>
      </c>
      <c r="J11">
        <f t="shared" si="2"/>
        <v>710.96495023799162</v>
      </c>
      <c r="K11">
        <f t="shared" si="3"/>
        <v>710.96495023799162</v>
      </c>
    </row>
    <row r="12" spans="1:11" x14ac:dyDescent="0.25">
      <c r="A12" t="s">
        <v>25</v>
      </c>
      <c r="B12" t="str">
        <f t="shared" si="4"/>
        <v>Percoz</v>
      </c>
      <c r="C12">
        <f t="shared" si="5"/>
        <v>12</v>
      </c>
      <c r="D12">
        <f t="shared" si="6"/>
        <v>8</v>
      </c>
      <c r="E12">
        <f t="shared" si="7"/>
        <v>11</v>
      </c>
      <c r="F12">
        <v>9</v>
      </c>
      <c r="G12">
        <v>10</v>
      </c>
      <c r="H12">
        <v>47.680657723929002</v>
      </c>
      <c r="I12">
        <f t="shared" si="1"/>
        <v>90</v>
      </c>
      <c r="J12">
        <f t="shared" si="2"/>
        <v>572.16789268714797</v>
      </c>
      <c r="K12">
        <f t="shared" si="3"/>
        <v>662.16789268714797</v>
      </c>
    </row>
    <row r="13" spans="1:11" x14ac:dyDescent="0.25">
      <c r="A13" t="s">
        <v>26</v>
      </c>
      <c r="B13" t="str">
        <f t="shared" si="4"/>
        <v>Percoz</v>
      </c>
      <c r="C13">
        <f t="shared" si="5"/>
        <v>12</v>
      </c>
      <c r="D13">
        <f t="shared" si="6"/>
        <v>8</v>
      </c>
      <c r="E13">
        <f t="shared" si="7"/>
        <v>11</v>
      </c>
      <c r="F13">
        <v>9</v>
      </c>
      <c r="G13">
        <v>30</v>
      </c>
      <c r="H13">
        <v>41.267849415837297</v>
      </c>
      <c r="I13">
        <f t="shared" si="1"/>
        <v>270</v>
      </c>
      <c r="J13">
        <f t="shared" si="2"/>
        <v>495.21419299004754</v>
      </c>
      <c r="K13">
        <f t="shared" si="3"/>
        <v>765.21419299004754</v>
      </c>
    </row>
    <row r="14" spans="1:11" x14ac:dyDescent="0.25">
      <c r="A14" t="s">
        <v>27</v>
      </c>
      <c r="B14" t="str">
        <f t="shared" si="4"/>
        <v>Percoz</v>
      </c>
      <c r="C14">
        <f t="shared" si="5"/>
        <v>12</v>
      </c>
      <c r="D14">
        <f t="shared" si="6"/>
        <v>8</v>
      </c>
      <c r="E14">
        <f t="shared" si="7"/>
        <v>11</v>
      </c>
      <c r="F14">
        <v>9</v>
      </c>
      <c r="G14">
        <v>60</v>
      </c>
      <c r="H14">
        <v>27.3431414971873</v>
      </c>
      <c r="I14">
        <f t="shared" si="1"/>
        <v>540</v>
      </c>
      <c r="J14">
        <f t="shared" si="2"/>
        <v>328.11769796624759</v>
      </c>
      <c r="K14">
        <f t="shared" si="3"/>
        <v>868.11769796624753</v>
      </c>
    </row>
    <row r="15" spans="1:11" x14ac:dyDescent="0.25">
      <c r="A15" t="s">
        <v>28</v>
      </c>
      <c r="B15" t="s">
        <v>3</v>
      </c>
      <c r="C15">
        <v>12</v>
      </c>
      <c r="D15">
        <v>16</v>
      </c>
      <c r="E15">
        <v>11</v>
      </c>
      <c r="F15">
        <v>1</v>
      </c>
      <c r="G15">
        <v>0</v>
      </c>
      <c r="H15">
        <v>59.592111639982605</v>
      </c>
      <c r="I15">
        <f t="shared" si="1"/>
        <v>0</v>
      </c>
      <c r="J15">
        <f t="shared" si="2"/>
        <v>715.10533967979131</v>
      </c>
      <c r="K15">
        <f t="shared" si="3"/>
        <v>715.10533967979131</v>
      </c>
    </row>
    <row r="16" spans="1:11" x14ac:dyDescent="0.25">
      <c r="A16" t="s">
        <v>29</v>
      </c>
      <c r="B16" t="str">
        <f>B15</f>
        <v>Percoz</v>
      </c>
      <c r="C16">
        <f t="shared" ref="C16:C26" si="8">C15</f>
        <v>12</v>
      </c>
      <c r="D16">
        <f t="shared" ref="D16:D26" si="9">D15</f>
        <v>16</v>
      </c>
      <c r="E16">
        <f t="shared" ref="E16:E26" si="10">E15</f>
        <v>11</v>
      </c>
      <c r="F16">
        <v>1</v>
      </c>
      <c r="G16">
        <v>10</v>
      </c>
      <c r="H16">
        <v>46.5111942881869</v>
      </c>
      <c r="I16">
        <f t="shared" si="1"/>
        <v>10</v>
      </c>
      <c r="J16">
        <f t="shared" si="2"/>
        <v>558.13433145824274</v>
      </c>
      <c r="K16">
        <f t="shared" si="3"/>
        <v>568.13433145824274</v>
      </c>
    </row>
    <row r="17" spans="1:11" x14ac:dyDescent="0.25">
      <c r="A17" t="s">
        <v>30</v>
      </c>
      <c r="B17" t="str">
        <f t="shared" ref="B17:B26" si="11">B16</f>
        <v>Percoz</v>
      </c>
      <c r="C17">
        <f t="shared" si="8"/>
        <v>12</v>
      </c>
      <c r="D17">
        <f t="shared" si="9"/>
        <v>16</v>
      </c>
      <c r="E17">
        <f t="shared" si="10"/>
        <v>11</v>
      </c>
      <c r="F17">
        <v>1</v>
      </c>
      <c r="G17">
        <v>30</v>
      </c>
      <c r="H17">
        <v>42.127810471657298</v>
      </c>
      <c r="I17">
        <f t="shared" si="1"/>
        <v>30</v>
      </c>
      <c r="J17">
        <f t="shared" si="2"/>
        <v>505.53372565988758</v>
      </c>
      <c r="K17">
        <f t="shared" si="3"/>
        <v>535.53372565988752</v>
      </c>
    </row>
    <row r="18" spans="1:11" x14ac:dyDescent="0.25">
      <c r="A18" t="s">
        <v>31</v>
      </c>
      <c r="B18" t="str">
        <f t="shared" si="11"/>
        <v>Percoz</v>
      </c>
      <c r="C18">
        <f t="shared" si="8"/>
        <v>12</v>
      </c>
      <c r="D18">
        <f t="shared" si="9"/>
        <v>16</v>
      </c>
      <c r="E18">
        <f t="shared" si="10"/>
        <v>11</v>
      </c>
      <c r="F18">
        <v>1</v>
      </c>
      <c r="G18">
        <v>60</v>
      </c>
      <c r="H18">
        <v>34.278394634357404</v>
      </c>
      <c r="I18">
        <f t="shared" si="1"/>
        <v>60</v>
      </c>
      <c r="J18">
        <f t="shared" si="2"/>
        <v>411.34073561228888</v>
      </c>
      <c r="K18">
        <f t="shared" si="3"/>
        <v>471.34073561228888</v>
      </c>
    </row>
    <row r="19" spans="1:11" x14ac:dyDescent="0.25">
      <c r="A19" t="s">
        <v>32</v>
      </c>
      <c r="B19" t="str">
        <f t="shared" si="11"/>
        <v>Percoz</v>
      </c>
      <c r="C19">
        <f t="shared" si="8"/>
        <v>12</v>
      </c>
      <c r="D19">
        <f t="shared" si="9"/>
        <v>16</v>
      </c>
      <c r="E19">
        <f t="shared" si="10"/>
        <v>11</v>
      </c>
      <c r="F19">
        <v>5</v>
      </c>
      <c r="G19">
        <v>0</v>
      </c>
      <c r="H19">
        <v>59.592111639982605</v>
      </c>
      <c r="I19">
        <f t="shared" si="1"/>
        <v>0</v>
      </c>
      <c r="J19">
        <f t="shared" si="2"/>
        <v>715.10533967979131</v>
      </c>
      <c r="K19">
        <f t="shared" si="3"/>
        <v>715.10533967979131</v>
      </c>
    </row>
    <row r="20" spans="1:11" x14ac:dyDescent="0.25">
      <c r="A20" t="s">
        <v>33</v>
      </c>
      <c r="B20" t="str">
        <f t="shared" si="11"/>
        <v>Percoz</v>
      </c>
      <c r="C20">
        <f t="shared" si="8"/>
        <v>12</v>
      </c>
      <c r="D20">
        <f t="shared" si="9"/>
        <v>16</v>
      </c>
      <c r="E20">
        <f t="shared" si="10"/>
        <v>11</v>
      </c>
      <c r="F20">
        <v>5</v>
      </c>
      <c r="G20">
        <v>10</v>
      </c>
      <c r="H20">
        <v>48.540618779749003</v>
      </c>
      <c r="I20">
        <f t="shared" si="1"/>
        <v>50</v>
      </c>
      <c r="J20">
        <f t="shared" si="2"/>
        <v>582.48742535698807</v>
      </c>
      <c r="K20">
        <f t="shared" si="3"/>
        <v>632.48742535698807</v>
      </c>
    </row>
    <row r="21" spans="1:11" x14ac:dyDescent="0.25">
      <c r="A21" t="s">
        <v>34</v>
      </c>
      <c r="B21" t="str">
        <f t="shared" si="11"/>
        <v>Percoz</v>
      </c>
      <c r="C21">
        <f t="shared" si="8"/>
        <v>12</v>
      </c>
      <c r="D21">
        <f t="shared" si="9"/>
        <v>16</v>
      </c>
      <c r="E21">
        <f t="shared" si="10"/>
        <v>11</v>
      </c>
      <c r="F21">
        <v>5</v>
      </c>
      <c r="G21">
        <v>30</v>
      </c>
      <c r="H21">
        <v>39.0858372998701</v>
      </c>
      <c r="I21">
        <f t="shared" si="1"/>
        <v>150</v>
      </c>
      <c r="J21">
        <f t="shared" si="2"/>
        <v>469.03004759844123</v>
      </c>
      <c r="K21">
        <f t="shared" si="3"/>
        <v>619.03004759844123</v>
      </c>
    </row>
    <row r="22" spans="1:11" x14ac:dyDescent="0.25">
      <c r="A22" t="s">
        <v>35</v>
      </c>
      <c r="B22" t="str">
        <f t="shared" si="11"/>
        <v>Percoz</v>
      </c>
      <c r="C22">
        <f t="shared" si="8"/>
        <v>12</v>
      </c>
      <c r="D22">
        <f t="shared" si="9"/>
        <v>16</v>
      </c>
      <c r="E22">
        <f t="shared" si="10"/>
        <v>11</v>
      </c>
      <c r="F22">
        <v>5</v>
      </c>
      <c r="G22">
        <v>60</v>
      </c>
      <c r="H22">
        <v>30.228199913457303</v>
      </c>
      <c r="I22">
        <f t="shared" si="1"/>
        <v>300</v>
      </c>
      <c r="J22">
        <f t="shared" si="2"/>
        <v>362.73839896148763</v>
      </c>
      <c r="K22">
        <f t="shared" si="3"/>
        <v>662.73839896148763</v>
      </c>
    </row>
    <row r="23" spans="1:11" x14ac:dyDescent="0.25">
      <c r="A23" t="s">
        <v>36</v>
      </c>
      <c r="B23" t="str">
        <f t="shared" si="11"/>
        <v>Percoz</v>
      </c>
      <c r="C23">
        <f t="shared" si="8"/>
        <v>12</v>
      </c>
      <c r="D23">
        <f t="shared" si="9"/>
        <v>16</v>
      </c>
      <c r="E23">
        <f t="shared" si="10"/>
        <v>11</v>
      </c>
      <c r="F23">
        <v>9</v>
      </c>
      <c r="G23">
        <v>0</v>
      </c>
      <c r="H23">
        <v>59.592111639982605</v>
      </c>
      <c r="I23">
        <f t="shared" si="1"/>
        <v>0</v>
      </c>
      <c r="J23">
        <f t="shared" si="2"/>
        <v>715.10533967979131</v>
      </c>
      <c r="K23">
        <f t="shared" si="3"/>
        <v>715.10533967979131</v>
      </c>
    </row>
    <row r="24" spans="1:11" x14ac:dyDescent="0.25">
      <c r="A24" t="s">
        <v>37</v>
      </c>
      <c r="B24" t="str">
        <f t="shared" si="11"/>
        <v>Percoz</v>
      </c>
      <c r="C24">
        <f t="shared" si="8"/>
        <v>12</v>
      </c>
      <c r="D24">
        <f t="shared" si="9"/>
        <v>16</v>
      </c>
      <c r="E24">
        <f t="shared" si="10"/>
        <v>11</v>
      </c>
      <c r="F24">
        <v>9</v>
      </c>
      <c r="G24">
        <v>10</v>
      </c>
      <c r="H24">
        <v>50.055114668974404</v>
      </c>
      <c r="I24">
        <f t="shared" si="1"/>
        <v>90</v>
      </c>
      <c r="J24">
        <f t="shared" si="2"/>
        <v>600.66137602769288</v>
      </c>
      <c r="K24">
        <f t="shared" si="3"/>
        <v>690.66137602769288</v>
      </c>
    </row>
    <row r="25" spans="1:11" x14ac:dyDescent="0.25">
      <c r="A25" t="s">
        <v>38</v>
      </c>
      <c r="B25" t="str">
        <f t="shared" si="11"/>
        <v>Percoz</v>
      </c>
      <c r="C25">
        <f t="shared" si="8"/>
        <v>12</v>
      </c>
      <c r="D25">
        <f t="shared" si="9"/>
        <v>16</v>
      </c>
      <c r="E25">
        <f t="shared" si="10"/>
        <v>11</v>
      </c>
      <c r="F25">
        <v>9</v>
      </c>
      <c r="G25">
        <v>30</v>
      </c>
      <c r="H25">
        <v>33.0148723496321</v>
      </c>
      <c r="I25">
        <f t="shared" si="1"/>
        <v>270</v>
      </c>
      <c r="J25">
        <f t="shared" si="2"/>
        <v>396.1784681955852</v>
      </c>
      <c r="K25">
        <f t="shared" si="3"/>
        <v>666.1784681955852</v>
      </c>
    </row>
    <row r="26" spans="1:11" x14ac:dyDescent="0.25">
      <c r="A26" t="s">
        <v>39</v>
      </c>
      <c r="B26" t="str">
        <f t="shared" si="11"/>
        <v>Percoz</v>
      </c>
      <c r="C26">
        <f t="shared" si="8"/>
        <v>12</v>
      </c>
      <c r="D26">
        <f t="shared" si="9"/>
        <v>16</v>
      </c>
      <c r="E26">
        <f t="shared" si="10"/>
        <v>11</v>
      </c>
      <c r="F26">
        <v>9</v>
      </c>
      <c r="G26">
        <v>60</v>
      </c>
      <c r="H26">
        <v>24.659182172219801</v>
      </c>
      <c r="I26">
        <f t="shared" si="1"/>
        <v>540</v>
      </c>
      <c r="J26">
        <f t="shared" si="2"/>
        <v>295.91018606663761</v>
      </c>
      <c r="K26">
        <f t="shared" si="3"/>
        <v>835.91018606663761</v>
      </c>
    </row>
    <row r="27" spans="1:11" x14ac:dyDescent="0.25">
      <c r="A27" t="s">
        <v>40</v>
      </c>
      <c r="B27" t="s">
        <v>3</v>
      </c>
      <c r="C27">
        <v>19</v>
      </c>
      <c r="D27">
        <v>8</v>
      </c>
      <c r="E27">
        <v>11</v>
      </c>
      <c r="F27">
        <v>1</v>
      </c>
      <c r="G27">
        <v>0</v>
      </c>
      <c r="H27">
        <v>40.703046300302802</v>
      </c>
      <c r="I27">
        <f t="shared" si="1"/>
        <v>0</v>
      </c>
      <c r="J27">
        <f t="shared" si="2"/>
        <v>773.35787970575325</v>
      </c>
      <c r="K27">
        <f t="shared" si="3"/>
        <v>773.35787970575325</v>
      </c>
    </row>
    <row r="28" spans="1:11" x14ac:dyDescent="0.25">
      <c r="A28" t="s">
        <v>41</v>
      </c>
      <c r="B28" t="str">
        <f>B27</f>
        <v>Percoz</v>
      </c>
      <c r="C28">
        <f t="shared" ref="C28:C38" si="12">C27</f>
        <v>19</v>
      </c>
      <c r="D28">
        <f t="shared" ref="D28:D38" si="13">D27</f>
        <v>8</v>
      </c>
      <c r="E28">
        <f t="shared" ref="E28:E38" si="14">E27</f>
        <v>11</v>
      </c>
      <c r="F28">
        <v>1</v>
      </c>
      <c r="G28">
        <v>10</v>
      </c>
      <c r="H28">
        <v>39.777040242319302</v>
      </c>
      <c r="I28">
        <f t="shared" si="1"/>
        <v>10</v>
      </c>
      <c r="J28">
        <f t="shared" si="2"/>
        <v>755.76376460406675</v>
      </c>
      <c r="K28">
        <f t="shared" si="3"/>
        <v>765.76376460406675</v>
      </c>
    </row>
    <row r="29" spans="1:11" x14ac:dyDescent="0.25">
      <c r="A29" t="s">
        <v>42</v>
      </c>
      <c r="B29" t="str">
        <f t="shared" ref="B29:B38" si="15">B28</f>
        <v>Percoz</v>
      </c>
      <c r="C29">
        <f t="shared" si="12"/>
        <v>19</v>
      </c>
      <c r="D29">
        <f t="shared" si="13"/>
        <v>8</v>
      </c>
      <c r="E29">
        <f t="shared" si="14"/>
        <v>11</v>
      </c>
      <c r="F29">
        <v>1</v>
      </c>
      <c r="G29">
        <v>30</v>
      </c>
      <c r="H29">
        <v>25.263842492427401</v>
      </c>
      <c r="I29">
        <f t="shared" si="1"/>
        <v>30</v>
      </c>
      <c r="J29">
        <f t="shared" si="2"/>
        <v>480.01300735612062</v>
      </c>
      <c r="K29">
        <f t="shared" si="3"/>
        <v>510.01300735612062</v>
      </c>
    </row>
    <row r="30" spans="1:11" x14ac:dyDescent="0.25">
      <c r="A30" t="s">
        <v>43</v>
      </c>
      <c r="B30" t="str">
        <f t="shared" si="15"/>
        <v>Percoz</v>
      </c>
      <c r="C30">
        <f t="shared" si="12"/>
        <v>19</v>
      </c>
      <c r="D30">
        <f t="shared" si="13"/>
        <v>8</v>
      </c>
      <c r="E30">
        <f t="shared" si="14"/>
        <v>11</v>
      </c>
      <c r="F30">
        <v>1</v>
      </c>
      <c r="G30">
        <v>60</v>
      </c>
      <c r="H30">
        <v>23.9959930765901</v>
      </c>
      <c r="I30">
        <f t="shared" si="1"/>
        <v>60</v>
      </c>
      <c r="J30">
        <f t="shared" si="2"/>
        <v>455.9238684552119</v>
      </c>
      <c r="K30">
        <f t="shared" si="3"/>
        <v>515.92386845521196</v>
      </c>
    </row>
    <row r="31" spans="1:11" x14ac:dyDescent="0.25">
      <c r="A31" t="s">
        <v>44</v>
      </c>
      <c r="B31" t="str">
        <f t="shared" si="15"/>
        <v>Percoz</v>
      </c>
      <c r="C31">
        <f t="shared" si="12"/>
        <v>19</v>
      </c>
      <c r="D31">
        <f t="shared" si="13"/>
        <v>8</v>
      </c>
      <c r="E31">
        <f t="shared" si="14"/>
        <v>11</v>
      </c>
      <c r="F31">
        <v>5</v>
      </c>
      <c r="G31">
        <v>0</v>
      </c>
      <c r="H31">
        <v>40.703046300302802</v>
      </c>
      <c r="I31">
        <f t="shared" si="1"/>
        <v>0</v>
      </c>
      <c r="J31">
        <f t="shared" si="2"/>
        <v>773.35787970575325</v>
      </c>
      <c r="K31">
        <f t="shared" si="3"/>
        <v>773.35787970575325</v>
      </c>
    </row>
    <row r="32" spans="1:11" x14ac:dyDescent="0.25">
      <c r="A32" t="s">
        <v>45</v>
      </c>
      <c r="B32" t="str">
        <f t="shared" si="15"/>
        <v>Percoz</v>
      </c>
      <c r="C32">
        <f t="shared" si="12"/>
        <v>19</v>
      </c>
      <c r="D32">
        <f t="shared" si="13"/>
        <v>8</v>
      </c>
      <c r="E32">
        <f t="shared" si="14"/>
        <v>11</v>
      </c>
      <c r="F32">
        <v>5</v>
      </c>
      <c r="G32">
        <v>10</v>
      </c>
      <c r="H32">
        <v>34.714296841194205</v>
      </c>
      <c r="I32">
        <f t="shared" si="1"/>
        <v>50</v>
      </c>
      <c r="J32">
        <f t="shared" si="2"/>
        <v>659.57163998268993</v>
      </c>
      <c r="K32">
        <f t="shared" si="3"/>
        <v>709.57163998268993</v>
      </c>
    </row>
    <row r="33" spans="1:11" x14ac:dyDescent="0.25">
      <c r="A33" t="s">
        <v>46</v>
      </c>
      <c r="B33" t="str">
        <f t="shared" si="15"/>
        <v>Percoz</v>
      </c>
      <c r="C33">
        <f t="shared" si="12"/>
        <v>19</v>
      </c>
      <c r="D33">
        <f t="shared" si="13"/>
        <v>8</v>
      </c>
      <c r="E33">
        <f t="shared" si="14"/>
        <v>11</v>
      </c>
      <c r="F33">
        <v>5</v>
      </c>
      <c r="G33">
        <v>30</v>
      </c>
      <c r="H33">
        <v>25.765789701427899</v>
      </c>
      <c r="I33">
        <f t="shared" si="1"/>
        <v>150</v>
      </c>
      <c r="J33">
        <f t="shared" si="2"/>
        <v>489.55000432713007</v>
      </c>
      <c r="K33">
        <f t="shared" si="3"/>
        <v>639.55000432713007</v>
      </c>
    </row>
    <row r="34" spans="1:11" x14ac:dyDescent="0.25">
      <c r="A34" t="s">
        <v>47</v>
      </c>
      <c r="B34" t="str">
        <f t="shared" si="15"/>
        <v>Percoz</v>
      </c>
      <c r="C34">
        <f t="shared" si="12"/>
        <v>19</v>
      </c>
      <c r="D34">
        <f t="shared" si="13"/>
        <v>8</v>
      </c>
      <c r="E34">
        <f t="shared" si="14"/>
        <v>11</v>
      </c>
      <c r="F34">
        <v>5</v>
      </c>
      <c r="G34">
        <v>60</v>
      </c>
      <c r="H34">
        <v>19.4395240155776</v>
      </c>
      <c r="I34">
        <f t="shared" si="1"/>
        <v>300</v>
      </c>
      <c r="J34">
        <f t="shared" si="2"/>
        <v>369.35095629597441</v>
      </c>
      <c r="K34">
        <f t="shared" si="3"/>
        <v>669.35095629597436</v>
      </c>
    </row>
    <row r="35" spans="1:11" x14ac:dyDescent="0.25">
      <c r="A35" t="s">
        <v>48</v>
      </c>
      <c r="B35" t="str">
        <f t="shared" si="15"/>
        <v>Percoz</v>
      </c>
      <c r="C35">
        <f t="shared" si="12"/>
        <v>19</v>
      </c>
      <c r="D35">
        <f t="shared" si="13"/>
        <v>8</v>
      </c>
      <c r="E35">
        <f t="shared" si="14"/>
        <v>11</v>
      </c>
      <c r="F35">
        <v>9</v>
      </c>
      <c r="G35">
        <v>0</v>
      </c>
      <c r="H35">
        <v>40.703046300302802</v>
      </c>
      <c r="I35">
        <f t="shared" si="1"/>
        <v>0</v>
      </c>
      <c r="J35">
        <f t="shared" si="2"/>
        <v>773.35787970575325</v>
      </c>
      <c r="K35">
        <f t="shared" si="3"/>
        <v>773.35787970575325</v>
      </c>
    </row>
    <row r="36" spans="1:11" x14ac:dyDescent="0.25">
      <c r="A36" t="s">
        <v>49</v>
      </c>
      <c r="B36" t="str">
        <f t="shared" si="15"/>
        <v>Percoz</v>
      </c>
      <c r="C36">
        <f t="shared" si="12"/>
        <v>19</v>
      </c>
      <c r="D36">
        <f t="shared" si="13"/>
        <v>8</v>
      </c>
      <c r="E36">
        <f t="shared" si="14"/>
        <v>11</v>
      </c>
      <c r="F36">
        <v>9</v>
      </c>
      <c r="G36">
        <v>10</v>
      </c>
      <c r="H36">
        <v>30.157827780181702</v>
      </c>
      <c r="I36">
        <f t="shared" si="1"/>
        <v>90</v>
      </c>
      <c r="J36">
        <f t="shared" si="2"/>
        <v>572.99872782345233</v>
      </c>
      <c r="K36">
        <f t="shared" si="3"/>
        <v>662.99872782345233</v>
      </c>
    </row>
    <row r="37" spans="1:11" x14ac:dyDescent="0.25">
      <c r="A37" t="s">
        <v>50</v>
      </c>
      <c r="B37" t="str">
        <f t="shared" si="15"/>
        <v>Percoz</v>
      </c>
      <c r="C37">
        <f t="shared" si="12"/>
        <v>19</v>
      </c>
      <c r="D37">
        <f t="shared" si="13"/>
        <v>8</v>
      </c>
      <c r="E37">
        <f t="shared" si="14"/>
        <v>11</v>
      </c>
      <c r="F37">
        <v>9</v>
      </c>
      <c r="G37">
        <v>30</v>
      </c>
      <c r="H37">
        <v>25.770116832539898</v>
      </c>
      <c r="I37">
        <f t="shared" si="1"/>
        <v>270</v>
      </c>
      <c r="J37">
        <f t="shared" si="2"/>
        <v>489.63221981825808</v>
      </c>
      <c r="K37">
        <f t="shared" si="3"/>
        <v>759.63221981825814</v>
      </c>
    </row>
    <row r="38" spans="1:11" x14ac:dyDescent="0.25">
      <c r="A38" t="s">
        <v>51</v>
      </c>
      <c r="B38" t="str">
        <f t="shared" si="15"/>
        <v>Percoz</v>
      </c>
      <c r="C38">
        <f t="shared" si="12"/>
        <v>19</v>
      </c>
      <c r="D38">
        <f t="shared" si="13"/>
        <v>8</v>
      </c>
      <c r="E38">
        <f t="shared" si="14"/>
        <v>11</v>
      </c>
      <c r="F38">
        <v>9</v>
      </c>
      <c r="G38">
        <v>60</v>
      </c>
      <c r="H38">
        <v>14.3767806144525</v>
      </c>
      <c r="I38">
        <f t="shared" si="1"/>
        <v>540</v>
      </c>
      <c r="J38">
        <f t="shared" si="2"/>
        <v>273.15883167459748</v>
      </c>
      <c r="K38">
        <f t="shared" si="3"/>
        <v>813.15883167459742</v>
      </c>
    </row>
    <row r="39" spans="1:11" x14ac:dyDescent="0.25">
      <c r="A39" t="s">
        <v>52</v>
      </c>
      <c r="B39" t="s">
        <v>3</v>
      </c>
      <c r="C39">
        <v>19</v>
      </c>
      <c r="D39">
        <v>16</v>
      </c>
      <c r="E39">
        <v>11</v>
      </c>
      <c r="F39">
        <v>1</v>
      </c>
      <c r="G39">
        <v>0</v>
      </c>
      <c r="H39">
        <v>39.5279099956728</v>
      </c>
      <c r="I39">
        <f t="shared" si="1"/>
        <v>0</v>
      </c>
      <c r="J39">
        <f t="shared" si="2"/>
        <v>751.03028991778319</v>
      </c>
      <c r="K39">
        <f t="shared" si="3"/>
        <v>751.03028991778319</v>
      </c>
    </row>
    <row r="40" spans="1:11" x14ac:dyDescent="0.25">
      <c r="A40" t="s">
        <v>53</v>
      </c>
      <c r="B40" t="str">
        <f>B39</f>
        <v>Percoz</v>
      </c>
      <c r="C40">
        <f t="shared" ref="C40:C50" si="16">C39</f>
        <v>19</v>
      </c>
      <c r="D40">
        <f t="shared" ref="D40:D50" si="17">D39</f>
        <v>16</v>
      </c>
      <c r="E40">
        <f t="shared" ref="E40:E50" si="18">E39</f>
        <v>11</v>
      </c>
      <c r="F40">
        <v>1</v>
      </c>
      <c r="G40">
        <v>10</v>
      </c>
      <c r="H40">
        <v>31.5097360450021</v>
      </c>
      <c r="I40">
        <f t="shared" si="1"/>
        <v>10</v>
      </c>
      <c r="J40">
        <f t="shared" si="2"/>
        <v>598.68498485503994</v>
      </c>
      <c r="K40">
        <f t="shared" si="3"/>
        <v>608.68498485503994</v>
      </c>
    </row>
    <row r="41" spans="1:11" x14ac:dyDescent="0.25">
      <c r="A41" t="s">
        <v>54</v>
      </c>
      <c r="B41" t="str">
        <f t="shared" ref="B41:B50" si="19">B40</f>
        <v>Percoz</v>
      </c>
      <c r="C41">
        <f t="shared" si="16"/>
        <v>19</v>
      </c>
      <c r="D41">
        <f t="shared" si="17"/>
        <v>16</v>
      </c>
      <c r="E41">
        <f t="shared" si="18"/>
        <v>11</v>
      </c>
      <c r="F41">
        <v>1</v>
      </c>
      <c r="G41">
        <v>30</v>
      </c>
      <c r="H41">
        <v>27.1220250973604</v>
      </c>
      <c r="I41">
        <f t="shared" si="1"/>
        <v>30</v>
      </c>
      <c r="J41">
        <f t="shared" si="2"/>
        <v>515.31847684984757</v>
      </c>
      <c r="K41">
        <f t="shared" si="3"/>
        <v>545.31847684984757</v>
      </c>
    </row>
    <row r="42" spans="1:11" x14ac:dyDescent="0.25">
      <c r="A42" t="s">
        <v>55</v>
      </c>
      <c r="B42" t="str">
        <f t="shared" si="19"/>
        <v>Percoz</v>
      </c>
      <c r="C42">
        <f t="shared" si="16"/>
        <v>19</v>
      </c>
      <c r="D42">
        <f t="shared" si="17"/>
        <v>16</v>
      </c>
      <c r="E42">
        <f t="shared" si="18"/>
        <v>11</v>
      </c>
      <c r="F42">
        <v>1</v>
      </c>
      <c r="G42">
        <v>60</v>
      </c>
      <c r="H42">
        <v>18.264387710947599</v>
      </c>
      <c r="I42">
        <f t="shared" si="1"/>
        <v>60</v>
      </c>
      <c r="J42">
        <f t="shared" si="2"/>
        <v>347.02336650800436</v>
      </c>
      <c r="K42">
        <f t="shared" si="3"/>
        <v>407.02336650800436</v>
      </c>
    </row>
    <row r="43" spans="1:11" x14ac:dyDescent="0.25">
      <c r="A43" t="s">
        <v>56</v>
      </c>
      <c r="B43" t="str">
        <f t="shared" si="19"/>
        <v>Percoz</v>
      </c>
      <c r="C43">
        <f t="shared" si="16"/>
        <v>19</v>
      </c>
      <c r="D43">
        <f t="shared" si="17"/>
        <v>16</v>
      </c>
      <c r="E43">
        <f t="shared" si="18"/>
        <v>11</v>
      </c>
      <c r="F43">
        <v>5</v>
      </c>
      <c r="G43">
        <v>0</v>
      </c>
      <c r="H43">
        <v>39.5279099956728</v>
      </c>
      <c r="I43">
        <f t="shared" si="1"/>
        <v>0</v>
      </c>
      <c r="J43">
        <f t="shared" si="2"/>
        <v>751.03028991778319</v>
      </c>
      <c r="K43">
        <f t="shared" si="3"/>
        <v>751.03028991778319</v>
      </c>
    </row>
    <row r="44" spans="1:11" x14ac:dyDescent="0.25">
      <c r="A44" t="s">
        <v>57</v>
      </c>
      <c r="B44" t="str">
        <f t="shared" si="19"/>
        <v>Percoz</v>
      </c>
      <c r="C44">
        <f t="shared" si="16"/>
        <v>19</v>
      </c>
      <c r="D44">
        <f t="shared" si="17"/>
        <v>16</v>
      </c>
      <c r="E44">
        <f t="shared" si="18"/>
        <v>11</v>
      </c>
      <c r="F44">
        <v>5</v>
      </c>
      <c r="G44">
        <v>10</v>
      </c>
      <c r="H44">
        <v>31.514063176114199</v>
      </c>
      <c r="I44">
        <f t="shared" si="1"/>
        <v>50</v>
      </c>
      <c r="J44">
        <f t="shared" si="2"/>
        <v>598.76720034616983</v>
      </c>
      <c r="K44">
        <f t="shared" si="3"/>
        <v>648.76720034616983</v>
      </c>
    </row>
    <row r="45" spans="1:11" x14ac:dyDescent="0.25">
      <c r="A45" t="s">
        <v>58</v>
      </c>
      <c r="B45" t="str">
        <f t="shared" si="19"/>
        <v>Percoz</v>
      </c>
      <c r="C45">
        <f t="shared" si="16"/>
        <v>19</v>
      </c>
      <c r="D45">
        <f t="shared" si="17"/>
        <v>16</v>
      </c>
      <c r="E45">
        <f t="shared" si="18"/>
        <v>11</v>
      </c>
      <c r="F45">
        <v>5</v>
      </c>
      <c r="G45">
        <v>30</v>
      </c>
      <c r="H45">
        <v>23.578104716572799</v>
      </c>
      <c r="I45">
        <f t="shared" si="1"/>
        <v>150</v>
      </c>
      <c r="J45">
        <f t="shared" si="2"/>
        <v>447.98398961488317</v>
      </c>
      <c r="K45">
        <f t="shared" si="3"/>
        <v>597.98398961488317</v>
      </c>
    </row>
    <row r="46" spans="1:11" x14ac:dyDescent="0.25">
      <c r="A46" t="s">
        <v>59</v>
      </c>
      <c r="B46" t="str">
        <f t="shared" si="19"/>
        <v>Percoz</v>
      </c>
      <c r="C46">
        <f t="shared" si="16"/>
        <v>19</v>
      </c>
      <c r="D46">
        <f t="shared" si="17"/>
        <v>16</v>
      </c>
      <c r="E46">
        <f t="shared" si="18"/>
        <v>11</v>
      </c>
      <c r="F46">
        <v>5</v>
      </c>
      <c r="G46">
        <v>60</v>
      </c>
      <c r="H46">
        <v>16.745564690610099</v>
      </c>
      <c r="I46">
        <f t="shared" si="1"/>
        <v>300</v>
      </c>
      <c r="J46">
        <f t="shared" si="2"/>
        <v>318.16572912159188</v>
      </c>
      <c r="K46">
        <f t="shared" si="3"/>
        <v>618.16572912159188</v>
      </c>
    </row>
    <row r="47" spans="1:11" x14ac:dyDescent="0.25">
      <c r="A47" t="s">
        <v>60</v>
      </c>
      <c r="B47" t="str">
        <f t="shared" si="19"/>
        <v>Percoz</v>
      </c>
      <c r="C47">
        <f t="shared" si="16"/>
        <v>19</v>
      </c>
      <c r="D47">
        <f t="shared" si="17"/>
        <v>16</v>
      </c>
      <c r="E47">
        <f t="shared" si="18"/>
        <v>11</v>
      </c>
      <c r="F47">
        <v>9</v>
      </c>
      <c r="G47">
        <v>0</v>
      </c>
      <c r="H47">
        <v>39.5279099956728</v>
      </c>
      <c r="I47">
        <f t="shared" si="1"/>
        <v>0</v>
      </c>
      <c r="J47">
        <f t="shared" si="2"/>
        <v>751.03028991778319</v>
      </c>
      <c r="K47">
        <f t="shared" si="3"/>
        <v>751.03028991778319</v>
      </c>
    </row>
    <row r="48" spans="1:11" x14ac:dyDescent="0.25">
      <c r="A48" t="s">
        <v>61</v>
      </c>
      <c r="B48" t="str">
        <f t="shared" si="19"/>
        <v>Percoz</v>
      </c>
      <c r="C48">
        <f t="shared" si="16"/>
        <v>19</v>
      </c>
      <c r="D48">
        <f t="shared" si="17"/>
        <v>16</v>
      </c>
      <c r="E48">
        <f t="shared" si="18"/>
        <v>11</v>
      </c>
      <c r="F48">
        <v>9</v>
      </c>
      <c r="G48">
        <v>10</v>
      </c>
      <c r="H48">
        <v>28.978364344439601</v>
      </c>
      <c r="I48">
        <f t="shared" si="1"/>
        <v>90</v>
      </c>
      <c r="J48">
        <f t="shared" si="2"/>
        <v>550.58892254435239</v>
      </c>
      <c r="K48">
        <f t="shared" si="3"/>
        <v>640.58892254435239</v>
      </c>
    </row>
    <row r="49" spans="1:11" x14ac:dyDescent="0.25">
      <c r="A49" t="s">
        <v>62</v>
      </c>
      <c r="B49" t="str">
        <f t="shared" si="19"/>
        <v>Percoz</v>
      </c>
      <c r="C49">
        <f t="shared" si="16"/>
        <v>19</v>
      </c>
      <c r="D49">
        <f t="shared" si="17"/>
        <v>16</v>
      </c>
      <c r="E49">
        <f t="shared" si="18"/>
        <v>11</v>
      </c>
      <c r="F49">
        <v>9</v>
      </c>
      <c r="G49">
        <v>30</v>
      </c>
      <c r="H49">
        <v>19.025962786672402</v>
      </c>
      <c r="I49">
        <f t="shared" si="1"/>
        <v>270</v>
      </c>
      <c r="J49">
        <f t="shared" si="2"/>
        <v>361.49329294677563</v>
      </c>
      <c r="K49">
        <f t="shared" si="3"/>
        <v>631.49329294677568</v>
      </c>
    </row>
    <row r="50" spans="1:11" x14ac:dyDescent="0.25">
      <c r="A50" t="s">
        <v>63</v>
      </c>
      <c r="B50" t="str">
        <f t="shared" si="19"/>
        <v>Percoz</v>
      </c>
      <c r="C50">
        <f t="shared" si="16"/>
        <v>19</v>
      </c>
      <c r="D50">
        <f t="shared" si="17"/>
        <v>16</v>
      </c>
      <c r="E50">
        <f t="shared" si="18"/>
        <v>11</v>
      </c>
      <c r="F50">
        <v>9</v>
      </c>
      <c r="G50">
        <v>60</v>
      </c>
      <c r="H50">
        <v>7.1263522284725092</v>
      </c>
      <c r="I50">
        <f t="shared" si="1"/>
        <v>540</v>
      </c>
      <c r="J50">
        <f t="shared" si="2"/>
        <v>135.40069234097768</v>
      </c>
      <c r="K50">
        <f t="shared" si="3"/>
        <v>675.40069234097768</v>
      </c>
    </row>
    <row r="51" spans="1:11" x14ac:dyDescent="0.25">
      <c r="A51" t="s">
        <v>64</v>
      </c>
      <c r="B51" t="s">
        <v>3</v>
      </c>
      <c r="C51">
        <v>12</v>
      </c>
      <c r="D51">
        <v>8</v>
      </c>
      <c r="E51">
        <v>16</v>
      </c>
      <c r="F51">
        <v>1</v>
      </c>
      <c r="G51">
        <v>0</v>
      </c>
      <c r="H51">
        <v>52.435623483394203</v>
      </c>
      <c r="I51">
        <f t="shared" si="1"/>
        <v>0</v>
      </c>
      <c r="J51">
        <f t="shared" si="2"/>
        <v>629.2274818007304</v>
      </c>
      <c r="K51">
        <f t="shared" si="3"/>
        <v>629.2274818007304</v>
      </c>
    </row>
    <row r="52" spans="1:11" x14ac:dyDescent="0.25">
      <c r="A52" t="s">
        <v>65</v>
      </c>
      <c r="B52" t="str">
        <f>B51</f>
        <v>Percoz</v>
      </c>
      <c r="C52">
        <f t="shared" ref="C52:C62" si="20">C51</f>
        <v>12</v>
      </c>
      <c r="D52">
        <f t="shared" ref="D52:D62" si="21">D51</f>
        <v>8</v>
      </c>
      <c r="E52">
        <v>16</v>
      </c>
      <c r="F52">
        <v>1</v>
      </c>
      <c r="G52">
        <v>10</v>
      </c>
      <c r="H52">
        <v>47.472384194705</v>
      </c>
      <c r="I52">
        <f t="shared" si="1"/>
        <v>10</v>
      </c>
      <c r="J52">
        <f t="shared" si="2"/>
        <v>569.66861033646001</v>
      </c>
      <c r="K52">
        <f t="shared" si="3"/>
        <v>579.66861033646001</v>
      </c>
    </row>
    <row r="53" spans="1:11" x14ac:dyDescent="0.25">
      <c r="A53" t="s">
        <v>66</v>
      </c>
      <c r="B53" t="str">
        <f t="shared" ref="B53:B62" si="22">B52</f>
        <v>Percoz</v>
      </c>
      <c r="C53">
        <f t="shared" si="20"/>
        <v>12</v>
      </c>
      <c r="D53">
        <f t="shared" si="21"/>
        <v>8</v>
      </c>
      <c r="E53">
        <v>16</v>
      </c>
      <c r="F53">
        <v>1</v>
      </c>
      <c r="G53">
        <v>30</v>
      </c>
      <c r="H53">
        <v>39.584223678968499</v>
      </c>
      <c r="I53">
        <f t="shared" si="1"/>
        <v>30</v>
      </c>
      <c r="J53">
        <f t="shared" si="2"/>
        <v>475.01068414762199</v>
      </c>
      <c r="K53">
        <f t="shared" si="3"/>
        <v>505.01068414762199</v>
      </c>
    </row>
    <row r="54" spans="1:11" x14ac:dyDescent="0.25">
      <c r="A54" t="s">
        <v>67</v>
      </c>
      <c r="B54" t="str">
        <f t="shared" si="22"/>
        <v>Percoz</v>
      </c>
      <c r="C54">
        <f t="shared" si="20"/>
        <v>12</v>
      </c>
      <c r="D54">
        <f t="shared" si="21"/>
        <v>8</v>
      </c>
      <c r="E54">
        <v>16</v>
      </c>
      <c r="F54">
        <v>1</v>
      </c>
      <c r="G54">
        <v>60</v>
      </c>
      <c r="H54">
        <v>34.790482054253602</v>
      </c>
      <c r="I54">
        <f t="shared" si="1"/>
        <v>60</v>
      </c>
      <c r="J54">
        <f t="shared" si="2"/>
        <v>417.48578465104322</v>
      </c>
      <c r="K54">
        <f t="shared" si="3"/>
        <v>477.48578465104322</v>
      </c>
    </row>
    <row r="55" spans="1:11" x14ac:dyDescent="0.25">
      <c r="A55" t="s">
        <v>68</v>
      </c>
      <c r="B55" t="str">
        <f t="shared" si="22"/>
        <v>Percoz</v>
      </c>
      <c r="C55">
        <f t="shared" si="20"/>
        <v>12</v>
      </c>
      <c r="D55">
        <f t="shared" si="21"/>
        <v>8</v>
      </c>
      <c r="E55">
        <v>16</v>
      </c>
      <c r="F55">
        <v>5</v>
      </c>
      <c r="G55">
        <v>0</v>
      </c>
      <c r="H55">
        <v>52.439969577342303</v>
      </c>
      <c r="I55">
        <f t="shared" si="1"/>
        <v>0</v>
      </c>
      <c r="J55">
        <f t="shared" si="2"/>
        <v>629.27963492810761</v>
      </c>
      <c r="K55">
        <f t="shared" si="3"/>
        <v>629.27963492810761</v>
      </c>
    </row>
    <row r="56" spans="1:11" x14ac:dyDescent="0.25">
      <c r="A56" t="s">
        <v>69</v>
      </c>
      <c r="B56" t="str">
        <f t="shared" si="22"/>
        <v>Percoz</v>
      </c>
      <c r="C56">
        <f t="shared" si="20"/>
        <v>12</v>
      </c>
      <c r="D56">
        <f t="shared" si="21"/>
        <v>8</v>
      </c>
      <c r="E56">
        <v>16</v>
      </c>
      <c r="F56">
        <v>5</v>
      </c>
      <c r="G56">
        <v>10</v>
      </c>
      <c r="H56">
        <v>43.947702002824897</v>
      </c>
      <c r="I56">
        <f t="shared" si="1"/>
        <v>50</v>
      </c>
      <c r="J56">
        <f t="shared" si="2"/>
        <v>527.37242403389882</v>
      </c>
      <c r="K56">
        <f t="shared" si="3"/>
        <v>577.37242403389882</v>
      </c>
    </row>
    <row r="57" spans="1:11" x14ac:dyDescent="0.25">
      <c r="A57" t="s">
        <v>70</v>
      </c>
      <c r="B57" t="str">
        <f t="shared" si="22"/>
        <v>Percoz</v>
      </c>
      <c r="C57">
        <f t="shared" si="20"/>
        <v>12</v>
      </c>
      <c r="D57">
        <f t="shared" si="21"/>
        <v>8</v>
      </c>
      <c r="E57">
        <v>16</v>
      </c>
      <c r="F57">
        <v>5</v>
      </c>
      <c r="G57">
        <v>30</v>
      </c>
      <c r="H57">
        <v>38.067436891094097</v>
      </c>
      <c r="I57">
        <f t="shared" si="1"/>
        <v>150</v>
      </c>
      <c r="J57">
        <f t="shared" si="2"/>
        <v>456.80924269312914</v>
      </c>
      <c r="K57">
        <f t="shared" si="3"/>
        <v>606.80924269312914</v>
      </c>
    </row>
    <row r="58" spans="1:11" x14ac:dyDescent="0.25">
      <c r="A58" t="s">
        <v>71</v>
      </c>
      <c r="B58" t="str">
        <f t="shared" si="22"/>
        <v>Percoz</v>
      </c>
      <c r="C58">
        <f t="shared" si="20"/>
        <v>12</v>
      </c>
      <c r="D58">
        <f t="shared" si="21"/>
        <v>8</v>
      </c>
      <c r="E58">
        <v>16</v>
      </c>
      <c r="F58">
        <v>5</v>
      </c>
      <c r="G58">
        <v>60</v>
      </c>
      <c r="H58">
        <v>31.2614537684255</v>
      </c>
      <c r="I58">
        <f t="shared" si="1"/>
        <v>300</v>
      </c>
      <c r="J58">
        <f t="shared" si="2"/>
        <v>375.13744522110602</v>
      </c>
      <c r="K58">
        <f t="shared" si="3"/>
        <v>675.13744522110596</v>
      </c>
    </row>
    <row r="59" spans="1:11" x14ac:dyDescent="0.25">
      <c r="A59" t="s">
        <v>72</v>
      </c>
      <c r="B59" t="str">
        <f t="shared" si="22"/>
        <v>Percoz</v>
      </c>
      <c r="C59">
        <f t="shared" si="20"/>
        <v>12</v>
      </c>
      <c r="D59">
        <f t="shared" si="21"/>
        <v>8</v>
      </c>
      <c r="E59">
        <v>16</v>
      </c>
      <c r="F59">
        <v>9</v>
      </c>
      <c r="G59">
        <v>0</v>
      </c>
      <c r="H59">
        <v>52.435623483394203</v>
      </c>
      <c r="I59">
        <f t="shared" si="1"/>
        <v>0</v>
      </c>
      <c r="J59">
        <f t="shared" si="2"/>
        <v>629.2274818007304</v>
      </c>
      <c r="K59">
        <f t="shared" si="3"/>
        <v>629.2274818007304</v>
      </c>
    </row>
    <row r="60" spans="1:11" x14ac:dyDescent="0.25">
      <c r="A60" t="s">
        <v>73</v>
      </c>
      <c r="B60" t="str">
        <f t="shared" si="22"/>
        <v>Percoz</v>
      </c>
      <c r="C60">
        <f t="shared" si="20"/>
        <v>12</v>
      </c>
      <c r="D60">
        <f t="shared" si="21"/>
        <v>8</v>
      </c>
      <c r="E60">
        <v>16</v>
      </c>
      <c r="F60">
        <v>9</v>
      </c>
      <c r="G60">
        <v>10</v>
      </c>
      <c r="H60">
        <v>44.447502806852299</v>
      </c>
      <c r="I60">
        <f t="shared" si="1"/>
        <v>90</v>
      </c>
      <c r="J60">
        <f t="shared" si="2"/>
        <v>533.37003368222759</v>
      </c>
      <c r="K60">
        <f t="shared" si="3"/>
        <v>623.37003368222759</v>
      </c>
    </row>
    <row r="61" spans="1:11" x14ac:dyDescent="0.25">
      <c r="A61" t="s">
        <v>74</v>
      </c>
      <c r="B61" t="str">
        <f t="shared" si="22"/>
        <v>Percoz</v>
      </c>
      <c r="C61">
        <f t="shared" si="20"/>
        <v>12</v>
      </c>
      <c r="D61">
        <f t="shared" si="21"/>
        <v>8</v>
      </c>
      <c r="E61">
        <v>16</v>
      </c>
      <c r="F61">
        <v>9</v>
      </c>
      <c r="G61">
        <v>30</v>
      </c>
      <c r="H61">
        <v>37.059143095143199</v>
      </c>
      <c r="I61">
        <f t="shared" si="1"/>
        <v>270</v>
      </c>
      <c r="J61">
        <f t="shared" si="2"/>
        <v>444.70971714171839</v>
      </c>
      <c r="K61">
        <f t="shared" si="3"/>
        <v>714.70971714171833</v>
      </c>
    </row>
    <row r="62" spans="1:11" x14ac:dyDescent="0.25">
      <c r="A62" t="s">
        <v>75</v>
      </c>
      <c r="B62" t="str">
        <f t="shared" si="22"/>
        <v>Percoz</v>
      </c>
      <c r="C62">
        <f t="shared" si="20"/>
        <v>12</v>
      </c>
      <c r="D62">
        <f t="shared" si="21"/>
        <v>8</v>
      </c>
      <c r="E62">
        <v>16</v>
      </c>
      <c r="F62">
        <v>9</v>
      </c>
      <c r="G62">
        <v>60</v>
      </c>
      <c r="H62">
        <v>22.690956502842901</v>
      </c>
      <c r="I62">
        <f t="shared" si="1"/>
        <v>540</v>
      </c>
      <c r="J62">
        <f t="shared" si="2"/>
        <v>272.29147803411479</v>
      </c>
      <c r="K62">
        <f t="shared" si="3"/>
        <v>812.29147803411479</v>
      </c>
    </row>
    <row r="63" spans="1:11" x14ac:dyDescent="0.25">
      <c r="A63" t="s">
        <v>76</v>
      </c>
      <c r="B63" t="s">
        <v>3</v>
      </c>
      <c r="C63">
        <v>12</v>
      </c>
      <c r="D63">
        <v>16</v>
      </c>
      <c r="E63">
        <v>16</v>
      </c>
      <c r="F63">
        <v>1</v>
      </c>
      <c r="G63">
        <v>0</v>
      </c>
      <c r="H63">
        <v>53.292107131215701</v>
      </c>
      <c r="I63">
        <f t="shared" si="1"/>
        <v>0</v>
      </c>
      <c r="J63">
        <f t="shared" si="2"/>
        <v>639.50528557458847</v>
      </c>
      <c r="K63">
        <f t="shared" si="3"/>
        <v>639.50528557458847</v>
      </c>
    </row>
    <row r="64" spans="1:11" x14ac:dyDescent="0.25">
      <c r="A64" t="s">
        <v>77</v>
      </c>
      <c r="B64" t="str">
        <f>B63</f>
        <v>Percoz</v>
      </c>
      <c r="C64">
        <f t="shared" ref="C64:C74" si="23">C63</f>
        <v>12</v>
      </c>
      <c r="D64">
        <f t="shared" ref="D64:D74" si="24">D63</f>
        <v>16</v>
      </c>
      <c r="E64">
        <v>16</v>
      </c>
      <c r="F64">
        <v>1</v>
      </c>
      <c r="G64">
        <v>10</v>
      </c>
      <c r="H64">
        <v>46.316626344572704</v>
      </c>
      <c r="I64">
        <f t="shared" si="1"/>
        <v>10</v>
      </c>
      <c r="J64">
        <f t="shared" si="2"/>
        <v>555.79951613487242</v>
      </c>
      <c r="K64">
        <f t="shared" si="3"/>
        <v>565.79951613487242</v>
      </c>
    </row>
    <row r="65" spans="1:11" x14ac:dyDescent="0.25">
      <c r="A65" t="s">
        <v>78</v>
      </c>
      <c r="B65" t="str">
        <f t="shared" ref="B65:B74" si="25">B64</f>
        <v>Percoz</v>
      </c>
      <c r="C65">
        <f t="shared" si="23"/>
        <v>12</v>
      </c>
      <c r="D65">
        <f t="shared" si="24"/>
        <v>16</v>
      </c>
      <c r="E65">
        <v>16</v>
      </c>
      <c r="F65">
        <v>1</v>
      </c>
      <c r="G65">
        <v>30</v>
      </c>
      <c r="H65">
        <v>36.9073329470137</v>
      </c>
      <c r="I65">
        <f t="shared" si="1"/>
        <v>30</v>
      </c>
      <c r="J65">
        <f t="shared" si="2"/>
        <v>442.8879953641644</v>
      </c>
      <c r="K65">
        <f t="shared" si="3"/>
        <v>472.8879953641644</v>
      </c>
    </row>
    <row r="66" spans="1:11" x14ac:dyDescent="0.25">
      <c r="A66" t="s">
        <v>79</v>
      </c>
      <c r="B66" t="str">
        <f t="shared" si="25"/>
        <v>Percoz</v>
      </c>
      <c r="C66">
        <f t="shared" si="23"/>
        <v>12</v>
      </c>
      <c r="D66">
        <f t="shared" si="24"/>
        <v>16</v>
      </c>
      <c r="E66">
        <v>16</v>
      </c>
      <c r="F66">
        <v>1</v>
      </c>
      <c r="G66">
        <v>60</v>
      </c>
      <c r="H66">
        <v>30.605496722320702</v>
      </c>
      <c r="I66">
        <f t="shared" si="1"/>
        <v>60</v>
      </c>
      <c r="J66">
        <f t="shared" si="2"/>
        <v>367.26596066784839</v>
      </c>
      <c r="K66">
        <f t="shared" si="3"/>
        <v>427.26596066784839</v>
      </c>
    </row>
    <row r="67" spans="1:11" x14ac:dyDescent="0.25">
      <c r="A67" t="s">
        <v>80</v>
      </c>
      <c r="B67" t="str">
        <f t="shared" si="25"/>
        <v>Percoz</v>
      </c>
      <c r="C67">
        <f t="shared" si="23"/>
        <v>12</v>
      </c>
      <c r="D67">
        <f t="shared" si="24"/>
        <v>16</v>
      </c>
      <c r="E67">
        <v>16</v>
      </c>
      <c r="F67">
        <v>5</v>
      </c>
      <c r="G67">
        <v>0</v>
      </c>
      <c r="H67">
        <v>52.787960233240298</v>
      </c>
      <c r="I67">
        <f t="shared" si="1"/>
        <v>0</v>
      </c>
      <c r="J67">
        <f t="shared" si="2"/>
        <v>633.45552279888352</v>
      </c>
      <c r="K67">
        <f t="shared" si="3"/>
        <v>633.45552279888352</v>
      </c>
    </row>
    <row r="68" spans="1:11" x14ac:dyDescent="0.25">
      <c r="A68" t="s">
        <v>81</v>
      </c>
      <c r="B68" t="str">
        <f t="shared" si="25"/>
        <v>Percoz</v>
      </c>
      <c r="C68">
        <f t="shared" si="23"/>
        <v>12</v>
      </c>
      <c r="D68">
        <f t="shared" si="24"/>
        <v>16</v>
      </c>
      <c r="E68">
        <v>16</v>
      </c>
      <c r="F68">
        <v>5</v>
      </c>
      <c r="G68">
        <v>10</v>
      </c>
      <c r="H68">
        <v>45.308332548621799</v>
      </c>
      <c r="I68">
        <f t="shared" ref="I68:I131" si="26">F68*G68</f>
        <v>50</v>
      </c>
      <c r="J68">
        <f t="shared" ref="J68:J131" si="27">H68*C68</f>
        <v>543.69999058346161</v>
      </c>
      <c r="K68">
        <f t="shared" ref="K68:K131" si="28">J68+I68</f>
        <v>593.69999058346161</v>
      </c>
    </row>
    <row r="69" spans="1:11" x14ac:dyDescent="0.25">
      <c r="A69" t="s">
        <v>82</v>
      </c>
      <c r="B69" t="str">
        <f t="shared" si="25"/>
        <v>Percoz</v>
      </c>
      <c r="C69">
        <f t="shared" si="23"/>
        <v>12</v>
      </c>
      <c r="D69">
        <f t="shared" si="24"/>
        <v>16</v>
      </c>
      <c r="E69">
        <v>16</v>
      </c>
      <c r="F69">
        <v>5</v>
      </c>
      <c r="G69">
        <v>30</v>
      </c>
      <c r="H69">
        <v>35.8946930571149</v>
      </c>
      <c r="I69">
        <f t="shared" si="26"/>
        <v>150</v>
      </c>
      <c r="J69">
        <f t="shared" si="27"/>
        <v>430.73631668537882</v>
      </c>
      <c r="K69">
        <f t="shared" si="28"/>
        <v>580.73631668537882</v>
      </c>
    </row>
    <row r="70" spans="1:11" x14ac:dyDescent="0.25">
      <c r="A70" t="s">
        <v>83</v>
      </c>
      <c r="B70" t="str">
        <f t="shared" si="25"/>
        <v>Percoz</v>
      </c>
      <c r="C70">
        <f t="shared" si="23"/>
        <v>12</v>
      </c>
      <c r="D70">
        <f t="shared" si="24"/>
        <v>16</v>
      </c>
      <c r="E70">
        <v>16</v>
      </c>
      <c r="F70">
        <v>5</v>
      </c>
      <c r="G70">
        <v>60</v>
      </c>
      <c r="H70">
        <v>27.0764684364926</v>
      </c>
      <c r="I70">
        <f t="shared" si="26"/>
        <v>300</v>
      </c>
      <c r="J70">
        <f t="shared" si="27"/>
        <v>324.91762123791119</v>
      </c>
      <c r="K70">
        <f t="shared" si="28"/>
        <v>624.91762123791113</v>
      </c>
    </row>
    <row r="71" spans="1:11" x14ac:dyDescent="0.25">
      <c r="A71" t="s">
        <v>84</v>
      </c>
      <c r="B71" t="str">
        <f t="shared" si="25"/>
        <v>Percoz</v>
      </c>
      <c r="C71">
        <f t="shared" si="23"/>
        <v>12</v>
      </c>
      <c r="D71">
        <f t="shared" si="24"/>
        <v>16</v>
      </c>
      <c r="E71">
        <v>16</v>
      </c>
      <c r="F71">
        <v>9</v>
      </c>
      <c r="G71">
        <v>0</v>
      </c>
      <c r="H71">
        <v>52.283813335264803</v>
      </c>
      <c r="I71">
        <f t="shared" si="26"/>
        <v>0</v>
      </c>
      <c r="J71">
        <f t="shared" si="27"/>
        <v>627.40576002317766</v>
      </c>
      <c r="K71">
        <f t="shared" si="28"/>
        <v>627.40576002317766</v>
      </c>
    </row>
    <row r="72" spans="1:11" x14ac:dyDescent="0.25">
      <c r="A72" t="s">
        <v>85</v>
      </c>
      <c r="B72" t="str">
        <f t="shared" si="25"/>
        <v>Percoz</v>
      </c>
      <c r="C72">
        <f t="shared" si="23"/>
        <v>12</v>
      </c>
      <c r="D72">
        <f t="shared" si="24"/>
        <v>16</v>
      </c>
      <c r="E72">
        <v>16</v>
      </c>
      <c r="F72">
        <v>9</v>
      </c>
      <c r="G72">
        <v>10</v>
      </c>
      <c r="H72">
        <v>43.287398862772001</v>
      </c>
      <c r="I72">
        <f t="shared" si="26"/>
        <v>90</v>
      </c>
      <c r="J72">
        <f t="shared" si="27"/>
        <v>519.44878635326404</v>
      </c>
      <c r="K72">
        <f t="shared" si="28"/>
        <v>609.44878635326404</v>
      </c>
    </row>
    <row r="73" spans="1:11" x14ac:dyDescent="0.25">
      <c r="A73" t="s">
        <v>86</v>
      </c>
      <c r="B73" t="str">
        <f t="shared" si="25"/>
        <v>Percoz</v>
      </c>
      <c r="C73">
        <f t="shared" si="23"/>
        <v>12</v>
      </c>
      <c r="D73">
        <f t="shared" si="24"/>
        <v>16</v>
      </c>
      <c r="E73">
        <v>16</v>
      </c>
      <c r="F73">
        <v>9</v>
      </c>
      <c r="G73">
        <v>30</v>
      </c>
      <c r="H73">
        <v>27.8283426895077</v>
      </c>
      <c r="I73">
        <f t="shared" si="26"/>
        <v>270</v>
      </c>
      <c r="J73">
        <f t="shared" si="27"/>
        <v>333.94011227409237</v>
      </c>
      <c r="K73">
        <f t="shared" si="28"/>
        <v>603.94011227409237</v>
      </c>
    </row>
    <row r="74" spans="1:11" x14ac:dyDescent="0.25">
      <c r="A74" t="s">
        <v>87</v>
      </c>
      <c r="B74" t="str">
        <f t="shared" si="25"/>
        <v>Percoz</v>
      </c>
      <c r="C74">
        <f t="shared" si="23"/>
        <v>12</v>
      </c>
      <c r="D74">
        <f t="shared" si="24"/>
        <v>16</v>
      </c>
      <c r="E74">
        <v>16</v>
      </c>
      <c r="F74">
        <v>9</v>
      </c>
      <c r="G74">
        <v>60</v>
      </c>
      <c r="H74">
        <v>9.9267817174313002</v>
      </c>
      <c r="I74">
        <f t="shared" si="26"/>
        <v>540</v>
      </c>
      <c r="J74">
        <f t="shared" si="27"/>
        <v>119.1213806091756</v>
      </c>
      <c r="K74">
        <f t="shared" si="28"/>
        <v>659.12138060917562</v>
      </c>
    </row>
    <row r="75" spans="1:11" x14ac:dyDescent="0.25">
      <c r="A75" t="s">
        <v>88</v>
      </c>
      <c r="B75" t="s">
        <v>3</v>
      </c>
      <c r="C75">
        <v>19</v>
      </c>
      <c r="D75">
        <v>8</v>
      </c>
      <c r="E75">
        <v>16</v>
      </c>
      <c r="F75">
        <v>1</v>
      </c>
      <c r="G75">
        <v>0</v>
      </c>
      <c r="H75">
        <v>29.949539676215799</v>
      </c>
      <c r="I75">
        <f t="shared" si="26"/>
        <v>0</v>
      </c>
      <c r="J75">
        <f t="shared" si="27"/>
        <v>569.04125384810015</v>
      </c>
      <c r="K75">
        <f t="shared" si="28"/>
        <v>569.04125384810015</v>
      </c>
    </row>
    <row r="76" spans="1:11" x14ac:dyDescent="0.25">
      <c r="A76" t="s">
        <v>89</v>
      </c>
      <c r="B76" t="str">
        <f>B75</f>
        <v>Percoz</v>
      </c>
      <c r="C76">
        <f t="shared" ref="C76:C86" si="29">C75</f>
        <v>19</v>
      </c>
      <c r="D76">
        <f t="shared" ref="D76:D86" si="30">D75</f>
        <v>8</v>
      </c>
      <c r="E76">
        <v>16</v>
      </c>
      <c r="F76">
        <v>1</v>
      </c>
      <c r="G76">
        <v>10</v>
      </c>
      <c r="H76">
        <v>27.5070348774038</v>
      </c>
      <c r="I76">
        <f t="shared" si="26"/>
        <v>10</v>
      </c>
      <c r="J76">
        <f t="shared" si="27"/>
        <v>522.63366267067215</v>
      </c>
      <c r="K76">
        <f t="shared" si="28"/>
        <v>532.63366267067215</v>
      </c>
    </row>
    <row r="77" spans="1:11" x14ac:dyDescent="0.25">
      <c r="A77" t="s">
        <v>90</v>
      </c>
      <c r="B77" t="str">
        <f t="shared" ref="B77:B86" si="31">B76</f>
        <v>Percoz</v>
      </c>
      <c r="C77">
        <f t="shared" si="29"/>
        <v>19</v>
      </c>
      <c r="D77">
        <f t="shared" si="30"/>
        <v>8</v>
      </c>
      <c r="E77">
        <v>16</v>
      </c>
      <c r="F77">
        <v>1</v>
      </c>
      <c r="G77">
        <v>30</v>
      </c>
      <c r="H77">
        <v>23.6563956394189</v>
      </c>
      <c r="I77">
        <f t="shared" si="26"/>
        <v>30</v>
      </c>
      <c r="J77">
        <f t="shared" si="27"/>
        <v>449.47151714895909</v>
      </c>
      <c r="K77">
        <f t="shared" si="28"/>
        <v>479.47151714895909</v>
      </c>
    </row>
    <row r="78" spans="1:11" x14ac:dyDescent="0.25">
      <c r="A78" t="s">
        <v>91</v>
      </c>
      <c r="B78" t="str">
        <f t="shared" si="31"/>
        <v>Percoz</v>
      </c>
      <c r="C78">
        <f t="shared" si="29"/>
        <v>19</v>
      </c>
      <c r="D78">
        <f t="shared" si="30"/>
        <v>8</v>
      </c>
      <c r="E78">
        <v>16</v>
      </c>
      <c r="F78">
        <v>1</v>
      </c>
      <c r="G78">
        <v>60</v>
      </c>
      <c r="H78">
        <v>20.879241606605898</v>
      </c>
      <c r="I78">
        <f t="shared" si="26"/>
        <v>60</v>
      </c>
      <c r="J78">
        <f t="shared" si="27"/>
        <v>396.70559052551209</v>
      </c>
      <c r="K78">
        <f t="shared" si="28"/>
        <v>456.70559052551209</v>
      </c>
    </row>
    <row r="79" spans="1:11" x14ac:dyDescent="0.25">
      <c r="A79" t="s">
        <v>92</v>
      </c>
      <c r="B79" t="str">
        <f t="shared" si="31"/>
        <v>Percoz</v>
      </c>
      <c r="C79">
        <f t="shared" si="29"/>
        <v>19</v>
      </c>
      <c r="D79">
        <f t="shared" si="30"/>
        <v>8</v>
      </c>
      <c r="E79">
        <v>16</v>
      </c>
      <c r="F79">
        <v>5</v>
      </c>
      <c r="G79">
        <v>0</v>
      </c>
      <c r="H79">
        <v>29.949539676215799</v>
      </c>
      <c r="I79">
        <f t="shared" si="26"/>
        <v>0</v>
      </c>
      <c r="J79">
        <f t="shared" si="27"/>
        <v>569.04125384810015</v>
      </c>
      <c r="K79">
        <f t="shared" si="28"/>
        <v>569.04125384810015</v>
      </c>
    </row>
    <row r="80" spans="1:11" x14ac:dyDescent="0.25">
      <c r="A80" t="s">
        <v>93</v>
      </c>
      <c r="B80" t="str">
        <f t="shared" si="31"/>
        <v>Percoz</v>
      </c>
      <c r="C80">
        <f t="shared" si="29"/>
        <v>19</v>
      </c>
      <c r="D80">
        <f t="shared" si="30"/>
        <v>8</v>
      </c>
      <c r="E80">
        <v>16</v>
      </c>
      <c r="F80">
        <v>5</v>
      </c>
      <c r="G80">
        <v>10</v>
      </c>
      <c r="H80">
        <v>27.5070348774038</v>
      </c>
      <c r="I80">
        <f t="shared" si="26"/>
        <v>50</v>
      </c>
      <c r="J80">
        <f t="shared" si="27"/>
        <v>522.63366267067215</v>
      </c>
      <c r="K80">
        <f t="shared" si="28"/>
        <v>572.63366267067215</v>
      </c>
    </row>
    <row r="81" spans="1:11" x14ac:dyDescent="0.25">
      <c r="A81" t="s">
        <v>94</v>
      </c>
      <c r="B81" t="str">
        <f t="shared" si="31"/>
        <v>Percoz</v>
      </c>
      <c r="C81">
        <f t="shared" si="29"/>
        <v>19</v>
      </c>
      <c r="D81">
        <f t="shared" si="30"/>
        <v>8</v>
      </c>
      <c r="E81">
        <v>16</v>
      </c>
      <c r="F81">
        <v>5</v>
      </c>
      <c r="G81">
        <v>30</v>
      </c>
      <c r="H81">
        <v>22.64375574952</v>
      </c>
      <c r="I81">
        <f t="shared" si="26"/>
        <v>150</v>
      </c>
      <c r="J81">
        <f t="shared" si="27"/>
        <v>430.23135924088001</v>
      </c>
      <c r="K81">
        <f t="shared" si="28"/>
        <v>580.23135924088001</v>
      </c>
    </row>
    <row r="82" spans="1:11" x14ac:dyDescent="0.25">
      <c r="A82" t="s">
        <v>95</v>
      </c>
      <c r="B82" t="str">
        <f t="shared" si="31"/>
        <v>Percoz</v>
      </c>
      <c r="C82">
        <f t="shared" si="29"/>
        <v>19</v>
      </c>
      <c r="D82">
        <f t="shared" si="30"/>
        <v>8</v>
      </c>
      <c r="E82">
        <v>16</v>
      </c>
      <c r="F82">
        <v>5</v>
      </c>
      <c r="G82">
        <v>60</v>
      </c>
      <c r="H82">
        <v>18.358507116728699</v>
      </c>
      <c r="I82">
        <f t="shared" si="26"/>
        <v>300</v>
      </c>
      <c r="J82">
        <f t="shared" si="27"/>
        <v>348.81163521784526</v>
      </c>
      <c r="K82">
        <f t="shared" si="28"/>
        <v>648.81163521784526</v>
      </c>
    </row>
    <row r="83" spans="1:11" x14ac:dyDescent="0.25">
      <c r="A83" t="s">
        <v>96</v>
      </c>
      <c r="B83" t="str">
        <f t="shared" si="31"/>
        <v>Percoz</v>
      </c>
      <c r="C83">
        <f t="shared" si="29"/>
        <v>19</v>
      </c>
      <c r="D83">
        <f t="shared" si="30"/>
        <v>8</v>
      </c>
      <c r="E83">
        <v>16</v>
      </c>
      <c r="F83">
        <v>9</v>
      </c>
      <c r="G83">
        <v>0</v>
      </c>
      <c r="H83">
        <v>29.949539676215799</v>
      </c>
      <c r="I83">
        <f t="shared" si="26"/>
        <v>0</v>
      </c>
      <c r="J83">
        <f t="shared" si="27"/>
        <v>569.04125384810015</v>
      </c>
      <c r="K83">
        <f t="shared" si="28"/>
        <v>569.04125384810015</v>
      </c>
    </row>
    <row r="84" spans="1:11" x14ac:dyDescent="0.25">
      <c r="A84" t="s">
        <v>97</v>
      </c>
      <c r="B84" t="str">
        <f t="shared" si="31"/>
        <v>Percoz</v>
      </c>
      <c r="C84">
        <f t="shared" si="29"/>
        <v>19</v>
      </c>
      <c r="D84">
        <f t="shared" si="30"/>
        <v>8</v>
      </c>
      <c r="E84">
        <v>16</v>
      </c>
      <c r="F84">
        <v>9</v>
      </c>
      <c r="G84">
        <v>10</v>
      </c>
      <c r="H84">
        <v>27.002887979428301</v>
      </c>
      <c r="I84">
        <f t="shared" si="26"/>
        <v>90</v>
      </c>
      <c r="J84">
        <f t="shared" si="27"/>
        <v>513.05487160913776</v>
      </c>
      <c r="K84">
        <f t="shared" si="28"/>
        <v>603.05487160913776</v>
      </c>
    </row>
    <row r="85" spans="1:11" x14ac:dyDescent="0.25">
      <c r="A85" t="s">
        <v>98</v>
      </c>
      <c r="B85" t="str">
        <f t="shared" si="31"/>
        <v>Percoz</v>
      </c>
      <c r="C85">
        <f t="shared" si="29"/>
        <v>19</v>
      </c>
      <c r="D85">
        <f t="shared" si="30"/>
        <v>8</v>
      </c>
      <c r="E85">
        <v>16</v>
      </c>
      <c r="F85">
        <v>9</v>
      </c>
      <c r="G85">
        <v>30</v>
      </c>
      <c r="H85">
        <v>21.635461953568999</v>
      </c>
      <c r="I85">
        <f t="shared" si="26"/>
        <v>270</v>
      </c>
      <c r="J85">
        <f t="shared" si="27"/>
        <v>411.07377711781101</v>
      </c>
      <c r="K85">
        <f t="shared" si="28"/>
        <v>681.07377711781101</v>
      </c>
    </row>
    <row r="86" spans="1:11" x14ac:dyDescent="0.25">
      <c r="A86" t="s">
        <v>99</v>
      </c>
      <c r="B86" t="str">
        <f t="shared" si="31"/>
        <v>Percoz</v>
      </c>
      <c r="C86">
        <f t="shared" si="29"/>
        <v>19</v>
      </c>
      <c r="D86">
        <f t="shared" si="30"/>
        <v>8</v>
      </c>
      <c r="E86">
        <v>16</v>
      </c>
      <c r="F86">
        <v>9</v>
      </c>
      <c r="G86">
        <v>60</v>
      </c>
      <c r="H86">
        <v>13.317038136974199</v>
      </c>
      <c r="I86">
        <f t="shared" si="26"/>
        <v>540</v>
      </c>
      <c r="J86">
        <f t="shared" si="27"/>
        <v>253.02372460250979</v>
      </c>
      <c r="K86">
        <f t="shared" si="28"/>
        <v>793.02372460250979</v>
      </c>
    </row>
    <row r="87" spans="1:11" x14ac:dyDescent="0.25">
      <c r="A87" t="s">
        <v>100</v>
      </c>
      <c r="B87" t="s">
        <v>3</v>
      </c>
      <c r="C87">
        <v>19</v>
      </c>
      <c r="D87">
        <v>16</v>
      </c>
      <c r="E87">
        <v>16</v>
      </c>
      <c r="F87">
        <v>1</v>
      </c>
      <c r="G87">
        <v>0</v>
      </c>
      <c r="H87">
        <v>29.2879287240591</v>
      </c>
      <c r="I87">
        <f t="shared" si="26"/>
        <v>0</v>
      </c>
      <c r="J87">
        <f t="shared" si="27"/>
        <v>556.47064575712284</v>
      </c>
      <c r="K87">
        <f t="shared" si="28"/>
        <v>556.47064575712284</v>
      </c>
    </row>
    <row r="88" spans="1:11" x14ac:dyDescent="0.25">
      <c r="A88" t="s">
        <v>101</v>
      </c>
      <c r="B88" t="str">
        <f>B87</f>
        <v>Percoz</v>
      </c>
      <c r="C88">
        <f t="shared" ref="C88:C98" si="32">C87</f>
        <v>19</v>
      </c>
      <c r="D88">
        <f t="shared" ref="D88:D98" si="33">D87</f>
        <v>16</v>
      </c>
      <c r="E88">
        <v>16</v>
      </c>
      <c r="F88">
        <v>1</v>
      </c>
      <c r="G88">
        <v>10</v>
      </c>
      <c r="H88">
        <v>26.341277027271499</v>
      </c>
      <c r="I88">
        <f t="shared" si="26"/>
        <v>10</v>
      </c>
      <c r="J88">
        <f t="shared" si="27"/>
        <v>500.48426351815846</v>
      </c>
      <c r="K88">
        <f t="shared" si="28"/>
        <v>510.48426351815846</v>
      </c>
    </row>
    <row r="89" spans="1:11" x14ac:dyDescent="0.25">
      <c r="A89" t="s">
        <v>102</v>
      </c>
      <c r="B89" t="str">
        <f t="shared" ref="B89:B98" si="34">B88</f>
        <v>Percoz</v>
      </c>
      <c r="C89">
        <f t="shared" si="32"/>
        <v>19</v>
      </c>
      <c r="D89">
        <f t="shared" si="33"/>
        <v>16</v>
      </c>
      <c r="E89">
        <v>16</v>
      </c>
      <c r="F89">
        <v>1</v>
      </c>
      <c r="G89">
        <v>30</v>
      </c>
      <c r="H89">
        <v>24.494187099344298</v>
      </c>
      <c r="I89">
        <f t="shared" si="26"/>
        <v>30</v>
      </c>
      <c r="J89">
        <f t="shared" si="27"/>
        <v>465.38955488754169</v>
      </c>
      <c r="K89">
        <f t="shared" si="28"/>
        <v>495.38955488754169</v>
      </c>
    </row>
    <row r="90" spans="1:11" x14ac:dyDescent="0.25">
      <c r="A90" t="s">
        <v>103</v>
      </c>
      <c r="B90" t="str">
        <f t="shared" si="34"/>
        <v>Percoz</v>
      </c>
      <c r="C90">
        <f t="shared" si="32"/>
        <v>19</v>
      </c>
      <c r="D90">
        <f t="shared" si="33"/>
        <v>16</v>
      </c>
      <c r="E90">
        <v>16</v>
      </c>
      <c r="F90">
        <v>1</v>
      </c>
      <c r="G90">
        <v>60</v>
      </c>
      <c r="H90">
        <v>17.692550070623799</v>
      </c>
      <c r="I90">
        <f t="shared" si="26"/>
        <v>60</v>
      </c>
      <c r="J90">
        <f t="shared" si="27"/>
        <v>336.15845134185219</v>
      </c>
      <c r="K90">
        <f t="shared" si="28"/>
        <v>396.15845134185219</v>
      </c>
    </row>
    <row r="91" spans="1:11" x14ac:dyDescent="0.25">
      <c r="A91" t="s">
        <v>104</v>
      </c>
      <c r="B91" t="str">
        <f t="shared" si="34"/>
        <v>Percoz</v>
      </c>
      <c r="C91">
        <f t="shared" si="32"/>
        <v>19</v>
      </c>
      <c r="D91">
        <f t="shared" si="33"/>
        <v>16</v>
      </c>
      <c r="E91">
        <v>16</v>
      </c>
      <c r="F91">
        <v>5</v>
      </c>
      <c r="G91">
        <v>0</v>
      </c>
      <c r="H91">
        <v>29.2879287240591</v>
      </c>
      <c r="I91">
        <f t="shared" si="26"/>
        <v>0</v>
      </c>
      <c r="J91">
        <f t="shared" si="27"/>
        <v>556.47064575712284</v>
      </c>
      <c r="K91">
        <f t="shared" si="28"/>
        <v>556.47064575712284</v>
      </c>
    </row>
    <row r="92" spans="1:11" x14ac:dyDescent="0.25">
      <c r="A92" t="s">
        <v>105</v>
      </c>
      <c r="B92" t="str">
        <f t="shared" si="34"/>
        <v>Percoz</v>
      </c>
      <c r="C92">
        <f t="shared" si="32"/>
        <v>19</v>
      </c>
      <c r="D92">
        <f t="shared" si="33"/>
        <v>16</v>
      </c>
      <c r="E92">
        <v>16</v>
      </c>
      <c r="F92">
        <v>5</v>
      </c>
      <c r="G92">
        <v>10</v>
      </c>
      <c r="H92">
        <v>26.341277027271499</v>
      </c>
      <c r="I92">
        <f t="shared" si="26"/>
        <v>50</v>
      </c>
      <c r="J92">
        <f t="shared" si="27"/>
        <v>500.48426351815846</v>
      </c>
      <c r="K92">
        <f t="shared" si="28"/>
        <v>550.48426351815851</v>
      </c>
    </row>
    <row r="93" spans="1:11" x14ac:dyDescent="0.25">
      <c r="A93" t="s">
        <v>106</v>
      </c>
      <c r="B93" t="str">
        <f t="shared" si="34"/>
        <v>Percoz</v>
      </c>
      <c r="C93">
        <f t="shared" si="32"/>
        <v>19</v>
      </c>
      <c r="D93">
        <f t="shared" si="33"/>
        <v>16</v>
      </c>
      <c r="E93">
        <v>16</v>
      </c>
      <c r="F93">
        <v>5</v>
      </c>
      <c r="G93">
        <v>30</v>
      </c>
      <c r="H93">
        <v>19.9612111115133</v>
      </c>
      <c r="I93">
        <f t="shared" si="26"/>
        <v>150</v>
      </c>
      <c r="J93">
        <f t="shared" si="27"/>
        <v>379.26301111875273</v>
      </c>
      <c r="K93">
        <f t="shared" si="28"/>
        <v>529.26301111875273</v>
      </c>
    </row>
    <row r="94" spans="1:11" x14ac:dyDescent="0.25">
      <c r="A94" t="s">
        <v>107</v>
      </c>
      <c r="B94" t="str">
        <f t="shared" si="34"/>
        <v>Percoz</v>
      </c>
      <c r="C94">
        <f t="shared" si="32"/>
        <v>19</v>
      </c>
      <c r="D94">
        <f t="shared" si="33"/>
        <v>16</v>
      </c>
      <c r="E94">
        <v>16</v>
      </c>
      <c r="F94">
        <v>5</v>
      </c>
      <c r="G94">
        <v>60</v>
      </c>
      <c r="H94">
        <v>13.159574082792901</v>
      </c>
      <c r="I94">
        <f t="shared" si="26"/>
        <v>300</v>
      </c>
      <c r="J94">
        <f t="shared" si="27"/>
        <v>250.0319075730651</v>
      </c>
      <c r="K94">
        <f t="shared" si="28"/>
        <v>550.03190757306515</v>
      </c>
    </row>
    <row r="95" spans="1:11" x14ac:dyDescent="0.25">
      <c r="A95" t="s">
        <v>108</v>
      </c>
      <c r="B95" t="str">
        <f t="shared" si="34"/>
        <v>Percoz</v>
      </c>
      <c r="C95">
        <f t="shared" si="32"/>
        <v>19</v>
      </c>
      <c r="D95">
        <f t="shared" si="33"/>
        <v>16</v>
      </c>
      <c r="E95">
        <v>16</v>
      </c>
      <c r="F95">
        <v>9</v>
      </c>
      <c r="G95">
        <v>0</v>
      </c>
      <c r="H95">
        <v>29.2879287240591</v>
      </c>
      <c r="I95">
        <f t="shared" si="26"/>
        <v>0</v>
      </c>
      <c r="J95">
        <f t="shared" si="27"/>
        <v>556.47064575712284</v>
      </c>
      <c r="K95">
        <f t="shared" si="28"/>
        <v>556.47064575712284</v>
      </c>
    </row>
    <row r="96" spans="1:11" x14ac:dyDescent="0.25">
      <c r="A96" t="s">
        <v>109</v>
      </c>
      <c r="B96" t="str">
        <f t="shared" si="34"/>
        <v>Percoz</v>
      </c>
      <c r="C96">
        <f t="shared" si="32"/>
        <v>19</v>
      </c>
      <c r="D96">
        <f t="shared" si="33"/>
        <v>16</v>
      </c>
      <c r="E96">
        <v>16</v>
      </c>
      <c r="F96">
        <v>9</v>
      </c>
      <c r="G96">
        <v>10</v>
      </c>
      <c r="H96">
        <v>26.341277027271499</v>
      </c>
      <c r="I96">
        <f t="shared" si="26"/>
        <v>90</v>
      </c>
      <c r="J96">
        <f t="shared" si="27"/>
        <v>500.48426351815846</v>
      </c>
      <c r="K96">
        <f t="shared" si="28"/>
        <v>590.48426351815851</v>
      </c>
    </row>
    <row r="97" spans="1:11" x14ac:dyDescent="0.25">
      <c r="A97" t="s">
        <v>110</v>
      </c>
      <c r="B97" t="str">
        <f t="shared" si="34"/>
        <v>Percoz</v>
      </c>
      <c r="C97">
        <f t="shared" si="32"/>
        <v>19</v>
      </c>
      <c r="D97">
        <f t="shared" si="33"/>
        <v>16</v>
      </c>
      <c r="E97">
        <v>16</v>
      </c>
      <c r="F97">
        <v>9</v>
      </c>
      <c r="G97">
        <v>30</v>
      </c>
      <c r="H97">
        <v>15.4195429357862</v>
      </c>
      <c r="I97">
        <f t="shared" si="26"/>
        <v>270</v>
      </c>
      <c r="J97">
        <f t="shared" si="27"/>
        <v>292.97131577993781</v>
      </c>
      <c r="K97">
        <f t="shared" si="28"/>
        <v>562.97131577993787</v>
      </c>
    </row>
    <row r="98" spans="1:11" x14ac:dyDescent="0.25">
      <c r="A98" t="s">
        <v>111</v>
      </c>
      <c r="B98" t="str">
        <f t="shared" si="34"/>
        <v>Percoz</v>
      </c>
      <c r="C98">
        <f t="shared" si="32"/>
        <v>19</v>
      </c>
      <c r="D98">
        <f t="shared" si="33"/>
        <v>16</v>
      </c>
      <c r="E98">
        <v>16</v>
      </c>
      <c r="F98">
        <v>9</v>
      </c>
      <c r="G98">
        <v>60</v>
      </c>
      <c r="H98">
        <v>7.1141574010356905</v>
      </c>
      <c r="I98">
        <f t="shared" si="26"/>
        <v>540</v>
      </c>
      <c r="J98">
        <f t="shared" si="27"/>
        <v>135.16899061967811</v>
      </c>
      <c r="K98">
        <f t="shared" si="28"/>
        <v>675.16899061967808</v>
      </c>
    </row>
    <row r="99" spans="1:11" x14ac:dyDescent="0.25">
      <c r="A99" t="s">
        <v>112</v>
      </c>
      <c r="B99" t="s">
        <v>8</v>
      </c>
      <c r="C99">
        <v>12</v>
      </c>
      <c r="D99">
        <v>8</v>
      </c>
      <c r="E99">
        <v>11</v>
      </c>
      <c r="F99">
        <v>1</v>
      </c>
      <c r="G99">
        <v>0</v>
      </c>
      <c r="H99">
        <v>104.111498257839</v>
      </c>
      <c r="I99">
        <f t="shared" si="26"/>
        <v>0</v>
      </c>
      <c r="J99">
        <f t="shared" si="27"/>
        <v>1249.337979094068</v>
      </c>
      <c r="K99">
        <f t="shared" si="28"/>
        <v>1249.337979094068</v>
      </c>
    </row>
    <row r="100" spans="1:11" x14ac:dyDescent="0.25">
      <c r="A100" t="s">
        <v>113</v>
      </c>
      <c r="B100" t="s">
        <v>8</v>
      </c>
      <c r="C100">
        <f t="shared" ref="C100:C110" si="35">C99</f>
        <v>12</v>
      </c>
      <c r="D100">
        <f t="shared" ref="D100:D110" si="36">D99</f>
        <v>8</v>
      </c>
      <c r="E100">
        <f t="shared" ref="E100:E110" si="37">E99</f>
        <v>11</v>
      </c>
      <c r="F100">
        <v>1</v>
      </c>
      <c r="G100">
        <v>10</v>
      </c>
      <c r="H100">
        <v>96.585365853658502</v>
      </c>
      <c r="I100">
        <f t="shared" si="26"/>
        <v>10</v>
      </c>
      <c r="J100">
        <f t="shared" si="27"/>
        <v>1159.024390243902</v>
      </c>
      <c r="K100">
        <f t="shared" si="28"/>
        <v>1169.024390243902</v>
      </c>
    </row>
    <row r="101" spans="1:11" x14ac:dyDescent="0.25">
      <c r="A101" t="s">
        <v>114</v>
      </c>
      <c r="B101" t="s">
        <v>8</v>
      </c>
      <c r="C101">
        <f t="shared" si="35"/>
        <v>12</v>
      </c>
      <c r="D101">
        <f t="shared" si="36"/>
        <v>8</v>
      </c>
      <c r="E101">
        <f t="shared" si="37"/>
        <v>11</v>
      </c>
      <c r="F101">
        <v>1</v>
      </c>
      <c r="G101">
        <v>30</v>
      </c>
      <c r="H101">
        <v>87.386759581881506</v>
      </c>
      <c r="I101">
        <f t="shared" si="26"/>
        <v>30</v>
      </c>
      <c r="J101">
        <f t="shared" si="27"/>
        <v>1048.6411149825781</v>
      </c>
      <c r="K101">
        <f t="shared" si="28"/>
        <v>1078.6411149825781</v>
      </c>
    </row>
    <row r="102" spans="1:11" x14ac:dyDescent="0.25">
      <c r="A102" t="s">
        <v>115</v>
      </c>
      <c r="B102" t="s">
        <v>8</v>
      </c>
      <c r="C102">
        <f t="shared" si="35"/>
        <v>12</v>
      </c>
      <c r="D102">
        <f t="shared" si="36"/>
        <v>8</v>
      </c>
      <c r="E102">
        <f t="shared" si="37"/>
        <v>11</v>
      </c>
      <c r="F102">
        <v>1</v>
      </c>
      <c r="G102">
        <v>60</v>
      </c>
      <c r="H102">
        <v>83.623693379790893</v>
      </c>
      <c r="I102">
        <f t="shared" si="26"/>
        <v>60</v>
      </c>
      <c r="J102">
        <f t="shared" si="27"/>
        <v>1003.4843205574907</v>
      </c>
      <c r="K102">
        <f t="shared" si="28"/>
        <v>1063.4843205574907</v>
      </c>
    </row>
    <row r="103" spans="1:11" x14ac:dyDescent="0.25">
      <c r="A103" t="s">
        <v>116</v>
      </c>
      <c r="B103" t="s">
        <v>8</v>
      </c>
      <c r="C103">
        <f t="shared" si="35"/>
        <v>12</v>
      </c>
      <c r="D103">
        <f t="shared" si="36"/>
        <v>8</v>
      </c>
      <c r="E103">
        <f t="shared" si="37"/>
        <v>11</v>
      </c>
      <c r="F103">
        <v>5</v>
      </c>
      <c r="G103">
        <v>0</v>
      </c>
      <c r="H103">
        <v>104.111498257839</v>
      </c>
      <c r="I103">
        <f t="shared" si="26"/>
        <v>0</v>
      </c>
      <c r="J103">
        <f t="shared" si="27"/>
        <v>1249.337979094068</v>
      </c>
      <c r="K103">
        <f t="shared" si="28"/>
        <v>1249.337979094068</v>
      </c>
    </row>
    <row r="104" spans="1:11" x14ac:dyDescent="0.25">
      <c r="A104" t="s">
        <v>117</v>
      </c>
      <c r="B104" t="s">
        <v>8</v>
      </c>
      <c r="C104">
        <f t="shared" si="35"/>
        <v>12</v>
      </c>
      <c r="D104">
        <f t="shared" si="36"/>
        <v>8</v>
      </c>
      <c r="E104">
        <f t="shared" si="37"/>
        <v>11</v>
      </c>
      <c r="F104">
        <v>5</v>
      </c>
      <c r="G104">
        <v>10</v>
      </c>
      <c r="H104">
        <v>91.149825783972105</v>
      </c>
      <c r="I104">
        <f t="shared" si="26"/>
        <v>50</v>
      </c>
      <c r="J104">
        <f t="shared" si="27"/>
        <v>1093.7979094076652</v>
      </c>
      <c r="K104">
        <f t="shared" si="28"/>
        <v>1143.7979094076652</v>
      </c>
    </row>
    <row r="105" spans="1:11" x14ac:dyDescent="0.25">
      <c r="A105" t="s">
        <v>118</v>
      </c>
      <c r="B105" t="s">
        <v>8</v>
      </c>
      <c r="C105">
        <f t="shared" si="35"/>
        <v>12</v>
      </c>
      <c r="D105">
        <f t="shared" si="36"/>
        <v>8</v>
      </c>
      <c r="E105">
        <f t="shared" si="37"/>
        <v>11</v>
      </c>
      <c r="F105">
        <v>5</v>
      </c>
      <c r="G105">
        <v>30</v>
      </c>
      <c r="H105">
        <v>76.933797909407602</v>
      </c>
      <c r="I105">
        <f t="shared" si="26"/>
        <v>150</v>
      </c>
      <c r="J105">
        <f t="shared" si="27"/>
        <v>923.20557491289128</v>
      </c>
      <c r="K105">
        <f t="shared" si="28"/>
        <v>1073.2055749128913</v>
      </c>
    </row>
    <row r="106" spans="1:11" x14ac:dyDescent="0.25">
      <c r="A106" t="s">
        <v>119</v>
      </c>
      <c r="B106" t="s">
        <v>8</v>
      </c>
      <c r="C106">
        <f t="shared" si="35"/>
        <v>12</v>
      </c>
      <c r="D106">
        <f t="shared" si="36"/>
        <v>8</v>
      </c>
      <c r="E106">
        <f t="shared" si="37"/>
        <v>11</v>
      </c>
      <c r="F106">
        <v>5</v>
      </c>
      <c r="G106">
        <v>60</v>
      </c>
      <c r="H106">
        <v>65.644599303135806</v>
      </c>
      <c r="I106">
        <f t="shared" si="26"/>
        <v>300</v>
      </c>
      <c r="J106">
        <f t="shared" si="27"/>
        <v>787.73519163762967</v>
      </c>
      <c r="K106">
        <f t="shared" si="28"/>
        <v>1087.7351916376297</v>
      </c>
    </row>
    <row r="107" spans="1:11" x14ac:dyDescent="0.25">
      <c r="A107" t="s">
        <v>120</v>
      </c>
      <c r="B107" t="s">
        <v>8</v>
      </c>
      <c r="C107">
        <f t="shared" si="35"/>
        <v>12</v>
      </c>
      <c r="D107">
        <f t="shared" si="36"/>
        <v>8</v>
      </c>
      <c r="E107">
        <f t="shared" si="37"/>
        <v>11</v>
      </c>
      <c r="F107">
        <v>9</v>
      </c>
      <c r="G107">
        <v>0</v>
      </c>
      <c r="H107">
        <v>104.111498257839</v>
      </c>
      <c r="I107">
        <f t="shared" si="26"/>
        <v>0</v>
      </c>
      <c r="J107">
        <f t="shared" si="27"/>
        <v>1249.337979094068</v>
      </c>
      <c r="K107">
        <f t="shared" si="28"/>
        <v>1249.337979094068</v>
      </c>
    </row>
    <row r="108" spans="1:11" x14ac:dyDescent="0.25">
      <c r="A108" t="s">
        <v>121</v>
      </c>
      <c r="B108" t="s">
        <v>8</v>
      </c>
      <c r="C108">
        <f t="shared" si="35"/>
        <v>12</v>
      </c>
      <c r="D108">
        <f t="shared" si="36"/>
        <v>8</v>
      </c>
      <c r="E108">
        <f t="shared" si="37"/>
        <v>11</v>
      </c>
      <c r="F108">
        <v>9</v>
      </c>
      <c r="G108">
        <v>10</v>
      </c>
      <c r="H108">
        <v>72.7526132404181</v>
      </c>
      <c r="I108">
        <f t="shared" si="26"/>
        <v>90</v>
      </c>
      <c r="J108">
        <f t="shared" si="27"/>
        <v>873.0313588850172</v>
      </c>
      <c r="K108">
        <f t="shared" si="28"/>
        <v>963.0313588850172</v>
      </c>
    </row>
    <row r="109" spans="1:11" x14ac:dyDescent="0.25">
      <c r="A109" t="s">
        <v>122</v>
      </c>
      <c r="B109" t="s">
        <v>8</v>
      </c>
      <c r="C109">
        <f t="shared" si="35"/>
        <v>12</v>
      </c>
      <c r="D109">
        <f t="shared" si="36"/>
        <v>8</v>
      </c>
      <c r="E109">
        <f t="shared" si="37"/>
        <v>11</v>
      </c>
      <c r="F109">
        <v>9</v>
      </c>
      <c r="G109">
        <v>30</v>
      </c>
      <c r="H109">
        <v>81.533101045296107</v>
      </c>
      <c r="I109">
        <f t="shared" si="26"/>
        <v>270</v>
      </c>
      <c r="J109">
        <f t="shared" si="27"/>
        <v>978.39721254355322</v>
      </c>
      <c r="K109">
        <f t="shared" si="28"/>
        <v>1248.3972125435532</v>
      </c>
    </row>
    <row r="110" spans="1:11" x14ac:dyDescent="0.25">
      <c r="A110" t="s">
        <v>123</v>
      </c>
      <c r="B110" t="s">
        <v>8</v>
      </c>
      <c r="C110">
        <f t="shared" si="35"/>
        <v>12</v>
      </c>
      <c r="D110">
        <f t="shared" si="36"/>
        <v>8</v>
      </c>
      <c r="E110">
        <f t="shared" si="37"/>
        <v>11</v>
      </c>
      <c r="F110">
        <v>9</v>
      </c>
      <c r="G110">
        <v>60</v>
      </c>
      <c r="H110">
        <v>60.209059233449402</v>
      </c>
      <c r="I110">
        <f t="shared" si="26"/>
        <v>540</v>
      </c>
      <c r="J110">
        <f t="shared" si="27"/>
        <v>722.50871080139279</v>
      </c>
      <c r="K110">
        <f t="shared" si="28"/>
        <v>1262.5087108013927</v>
      </c>
    </row>
    <row r="111" spans="1:11" x14ac:dyDescent="0.25">
      <c r="A111" t="s">
        <v>124</v>
      </c>
      <c r="B111" t="s">
        <v>8</v>
      </c>
      <c r="C111">
        <v>12</v>
      </c>
      <c r="D111">
        <v>16</v>
      </c>
      <c r="E111">
        <v>11</v>
      </c>
      <c r="F111">
        <v>1</v>
      </c>
      <c r="G111">
        <v>0</v>
      </c>
      <c r="H111">
        <v>103.275261324041</v>
      </c>
      <c r="I111">
        <f t="shared" si="26"/>
        <v>0</v>
      </c>
      <c r="J111">
        <f t="shared" si="27"/>
        <v>1239.3031358884919</v>
      </c>
      <c r="K111">
        <f t="shared" si="28"/>
        <v>1239.3031358884919</v>
      </c>
    </row>
    <row r="112" spans="1:11" x14ac:dyDescent="0.25">
      <c r="A112" t="s">
        <v>125</v>
      </c>
      <c r="B112" t="s">
        <v>8</v>
      </c>
      <c r="C112">
        <f t="shared" ref="C112:C122" si="38">C111</f>
        <v>12</v>
      </c>
      <c r="D112">
        <f t="shared" ref="D112:D122" si="39">D111</f>
        <v>16</v>
      </c>
      <c r="E112">
        <f t="shared" ref="E112:E122" si="40">E111</f>
        <v>11</v>
      </c>
      <c r="F112">
        <v>1</v>
      </c>
      <c r="G112">
        <v>10</v>
      </c>
      <c r="H112">
        <v>86.132404181184597</v>
      </c>
      <c r="I112">
        <f t="shared" si="26"/>
        <v>10</v>
      </c>
      <c r="J112">
        <f t="shared" si="27"/>
        <v>1033.5888501742152</v>
      </c>
      <c r="K112">
        <f t="shared" si="28"/>
        <v>1043.5888501742152</v>
      </c>
    </row>
    <row r="113" spans="1:11" x14ac:dyDescent="0.25">
      <c r="A113" t="s">
        <v>126</v>
      </c>
      <c r="B113" t="s">
        <v>8</v>
      </c>
      <c r="C113">
        <f t="shared" si="38"/>
        <v>12</v>
      </c>
      <c r="D113">
        <f t="shared" si="39"/>
        <v>16</v>
      </c>
      <c r="E113">
        <f t="shared" si="40"/>
        <v>11</v>
      </c>
      <c r="F113">
        <v>1</v>
      </c>
      <c r="G113">
        <v>30</v>
      </c>
      <c r="H113">
        <v>91.986062717769997</v>
      </c>
      <c r="I113">
        <f t="shared" si="26"/>
        <v>30</v>
      </c>
      <c r="J113">
        <f t="shared" si="27"/>
        <v>1103.83275261324</v>
      </c>
      <c r="K113">
        <f t="shared" si="28"/>
        <v>1133.83275261324</v>
      </c>
    </row>
    <row r="114" spans="1:11" x14ac:dyDescent="0.25">
      <c r="A114" t="s">
        <v>127</v>
      </c>
      <c r="B114" t="s">
        <v>8</v>
      </c>
      <c r="C114">
        <f t="shared" si="38"/>
        <v>12</v>
      </c>
      <c r="D114">
        <f t="shared" si="39"/>
        <v>16</v>
      </c>
      <c r="E114">
        <f t="shared" si="40"/>
        <v>11</v>
      </c>
      <c r="F114">
        <v>1</v>
      </c>
      <c r="G114">
        <v>60</v>
      </c>
      <c r="H114">
        <v>72.334494773519097</v>
      </c>
      <c r="I114">
        <f t="shared" si="26"/>
        <v>60</v>
      </c>
      <c r="J114">
        <f t="shared" si="27"/>
        <v>868.01393728222911</v>
      </c>
      <c r="K114">
        <f t="shared" si="28"/>
        <v>928.01393728222911</v>
      </c>
    </row>
    <row r="115" spans="1:11" x14ac:dyDescent="0.25">
      <c r="A115" t="s">
        <v>128</v>
      </c>
      <c r="B115" t="s">
        <v>8</v>
      </c>
      <c r="C115">
        <f t="shared" si="38"/>
        <v>12</v>
      </c>
      <c r="D115">
        <f t="shared" si="39"/>
        <v>16</v>
      </c>
      <c r="E115">
        <f t="shared" si="40"/>
        <v>11</v>
      </c>
      <c r="F115">
        <v>5</v>
      </c>
      <c r="G115">
        <v>0</v>
      </c>
      <c r="H115">
        <v>103.69337979094</v>
      </c>
      <c r="I115">
        <f t="shared" si="26"/>
        <v>0</v>
      </c>
      <c r="J115">
        <f t="shared" si="27"/>
        <v>1244.3205574912799</v>
      </c>
      <c r="K115">
        <f t="shared" si="28"/>
        <v>1244.3205574912799</v>
      </c>
    </row>
    <row r="116" spans="1:11" x14ac:dyDescent="0.25">
      <c r="A116" t="s">
        <v>129</v>
      </c>
      <c r="B116" t="s">
        <v>8</v>
      </c>
      <c r="C116">
        <f t="shared" si="38"/>
        <v>12</v>
      </c>
      <c r="D116">
        <f t="shared" si="39"/>
        <v>16</v>
      </c>
      <c r="E116">
        <f t="shared" si="40"/>
        <v>11</v>
      </c>
      <c r="F116">
        <v>5</v>
      </c>
      <c r="G116">
        <v>10</v>
      </c>
      <c r="H116">
        <v>82.369337979093999</v>
      </c>
      <c r="I116">
        <f t="shared" si="26"/>
        <v>50</v>
      </c>
      <c r="J116">
        <f t="shared" si="27"/>
        <v>988.43205574912804</v>
      </c>
      <c r="K116">
        <f t="shared" si="28"/>
        <v>1038.432055749128</v>
      </c>
    </row>
    <row r="117" spans="1:11" x14ac:dyDescent="0.25">
      <c r="A117" t="s">
        <v>130</v>
      </c>
      <c r="B117" t="s">
        <v>8</v>
      </c>
      <c r="C117">
        <f t="shared" si="38"/>
        <v>12</v>
      </c>
      <c r="D117">
        <f t="shared" si="39"/>
        <v>16</v>
      </c>
      <c r="E117">
        <f t="shared" si="40"/>
        <v>11</v>
      </c>
      <c r="F117">
        <v>5</v>
      </c>
      <c r="G117">
        <v>30</v>
      </c>
      <c r="H117">
        <v>89.059233449477304</v>
      </c>
      <c r="I117">
        <f t="shared" si="26"/>
        <v>150</v>
      </c>
      <c r="J117">
        <f t="shared" si="27"/>
        <v>1068.7108013937277</v>
      </c>
      <c r="K117">
        <f t="shared" si="28"/>
        <v>1218.7108013937277</v>
      </c>
    </row>
    <row r="118" spans="1:11" x14ac:dyDescent="0.25">
      <c r="A118" t="s">
        <v>131</v>
      </c>
      <c r="B118" t="s">
        <v>8</v>
      </c>
      <c r="C118">
        <f t="shared" si="38"/>
        <v>12</v>
      </c>
      <c r="D118">
        <f t="shared" si="39"/>
        <v>16</v>
      </c>
      <c r="E118">
        <f t="shared" si="40"/>
        <v>11</v>
      </c>
      <c r="F118">
        <v>5</v>
      </c>
      <c r="G118">
        <v>60</v>
      </c>
      <c r="H118">
        <v>66.480836236933698</v>
      </c>
      <c r="I118">
        <f t="shared" si="26"/>
        <v>300</v>
      </c>
      <c r="J118">
        <f t="shared" si="27"/>
        <v>797.77003484320437</v>
      </c>
      <c r="K118">
        <f t="shared" si="28"/>
        <v>1097.7700348432045</v>
      </c>
    </row>
    <row r="119" spans="1:11" x14ac:dyDescent="0.25">
      <c r="A119" t="s">
        <v>132</v>
      </c>
      <c r="B119" t="s">
        <v>8</v>
      </c>
      <c r="C119">
        <f t="shared" si="38"/>
        <v>12</v>
      </c>
      <c r="D119">
        <f t="shared" si="39"/>
        <v>16</v>
      </c>
      <c r="E119">
        <f t="shared" si="40"/>
        <v>11</v>
      </c>
      <c r="F119">
        <v>9</v>
      </c>
      <c r="G119">
        <v>0</v>
      </c>
      <c r="H119">
        <v>103.69337979094</v>
      </c>
      <c r="I119">
        <f t="shared" si="26"/>
        <v>0</v>
      </c>
      <c r="J119">
        <f t="shared" si="27"/>
        <v>1244.3205574912799</v>
      </c>
      <c r="K119">
        <f t="shared" si="28"/>
        <v>1244.3205574912799</v>
      </c>
    </row>
    <row r="120" spans="1:11" x14ac:dyDescent="0.25">
      <c r="A120" t="s">
        <v>133</v>
      </c>
      <c r="B120" t="s">
        <v>8</v>
      </c>
      <c r="C120">
        <f t="shared" si="38"/>
        <v>12</v>
      </c>
      <c r="D120">
        <f t="shared" si="39"/>
        <v>16</v>
      </c>
      <c r="E120">
        <f t="shared" si="40"/>
        <v>11</v>
      </c>
      <c r="F120">
        <v>9</v>
      </c>
      <c r="G120">
        <v>10</v>
      </c>
      <c r="H120">
        <v>90.731707317073102</v>
      </c>
      <c r="I120">
        <f t="shared" si="26"/>
        <v>90</v>
      </c>
      <c r="J120">
        <f t="shared" si="27"/>
        <v>1088.7804878048773</v>
      </c>
      <c r="K120">
        <f t="shared" si="28"/>
        <v>1178.7804878048773</v>
      </c>
    </row>
    <row r="121" spans="1:11" x14ac:dyDescent="0.25">
      <c r="A121" t="s">
        <v>134</v>
      </c>
      <c r="B121" t="s">
        <v>8</v>
      </c>
      <c r="C121">
        <f t="shared" si="38"/>
        <v>12</v>
      </c>
      <c r="D121">
        <f t="shared" si="39"/>
        <v>16</v>
      </c>
      <c r="E121">
        <f t="shared" si="40"/>
        <v>11</v>
      </c>
      <c r="F121">
        <v>9</v>
      </c>
      <c r="G121">
        <v>30</v>
      </c>
      <c r="H121">
        <v>76.933797909407602</v>
      </c>
      <c r="I121">
        <f t="shared" si="26"/>
        <v>270</v>
      </c>
      <c r="J121">
        <f t="shared" si="27"/>
        <v>923.20557491289128</v>
      </c>
      <c r="K121">
        <f t="shared" si="28"/>
        <v>1193.2055749128913</v>
      </c>
    </row>
    <row r="122" spans="1:11" x14ac:dyDescent="0.25">
      <c r="A122" t="s">
        <v>135</v>
      </c>
      <c r="B122" t="s">
        <v>8</v>
      </c>
      <c r="C122">
        <f t="shared" si="38"/>
        <v>12</v>
      </c>
      <c r="D122">
        <f t="shared" si="39"/>
        <v>16</v>
      </c>
      <c r="E122">
        <f t="shared" si="40"/>
        <v>11</v>
      </c>
      <c r="F122">
        <v>9</v>
      </c>
      <c r="G122">
        <v>60</v>
      </c>
      <c r="H122">
        <v>50.592334494773503</v>
      </c>
      <c r="I122">
        <f t="shared" si="26"/>
        <v>540</v>
      </c>
      <c r="J122">
        <f t="shared" si="27"/>
        <v>607.10801393728207</v>
      </c>
      <c r="K122">
        <f t="shared" si="28"/>
        <v>1147.1080139372821</v>
      </c>
    </row>
    <row r="123" spans="1:11" x14ac:dyDescent="0.25">
      <c r="A123" t="s">
        <v>136</v>
      </c>
      <c r="B123" t="s">
        <v>8</v>
      </c>
      <c r="C123">
        <v>19</v>
      </c>
      <c r="D123">
        <v>8</v>
      </c>
      <c r="E123">
        <v>11</v>
      </c>
      <c r="F123">
        <v>1</v>
      </c>
      <c r="G123">
        <v>0</v>
      </c>
      <c r="H123">
        <v>103.275261324041</v>
      </c>
      <c r="I123">
        <f t="shared" si="26"/>
        <v>0</v>
      </c>
      <c r="J123">
        <f t="shared" si="27"/>
        <v>1962.2299651567789</v>
      </c>
      <c r="K123">
        <f t="shared" si="28"/>
        <v>1962.2299651567789</v>
      </c>
    </row>
    <row r="124" spans="1:11" x14ac:dyDescent="0.25">
      <c r="A124" t="s">
        <v>137</v>
      </c>
      <c r="B124" t="s">
        <v>8</v>
      </c>
      <c r="C124">
        <f t="shared" ref="C124:C134" si="41">C123</f>
        <v>19</v>
      </c>
      <c r="D124">
        <f t="shared" ref="D124:D134" si="42">D123</f>
        <v>8</v>
      </c>
      <c r="E124">
        <f t="shared" ref="E124:E134" si="43">E123</f>
        <v>11</v>
      </c>
      <c r="F124">
        <v>1</v>
      </c>
      <c r="G124">
        <v>10</v>
      </c>
      <c r="H124">
        <v>91.149825783972105</v>
      </c>
      <c r="I124">
        <f t="shared" si="26"/>
        <v>10</v>
      </c>
      <c r="J124">
        <f t="shared" si="27"/>
        <v>1731.84668989547</v>
      </c>
      <c r="K124">
        <f t="shared" si="28"/>
        <v>1741.84668989547</v>
      </c>
    </row>
    <row r="125" spans="1:11" x14ac:dyDescent="0.25">
      <c r="A125" t="s">
        <v>138</v>
      </c>
      <c r="B125" t="s">
        <v>8</v>
      </c>
      <c r="C125">
        <f t="shared" si="41"/>
        <v>19</v>
      </c>
      <c r="D125">
        <f t="shared" si="42"/>
        <v>8</v>
      </c>
      <c r="E125">
        <f t="shared" si="43"/>
        <v>11</v>
      </c>
      <c r="F125">
        <v>1</v>
      </c>
      <c r="G125">
        <v>30</v>
      </c>
      <c r="H125">
        <v>66.062717770034794</v>
      </c>
      <c r="I125">
        <f t="shared" si="26"/>
        <v>30</v>
      </c>
      <c r="J125">
        <f t="shared" si="27"/>
        <v>1255.191637630661</v>
      </c>
      <c r="K125">
        <f t="shared" si="28"/>
        <v>1285.191637630661</v>
      </c>
    </row>
    <row r="126" spans="1:11" x14ac:dyDescent="0.25">
      <c r="A126" t="s">
        <v>139</v>
      </c>
      <c r="B126" t="s">
        <v>8</v>
      </c>
      <c r="C126">
        <f t="shared" si="41"/>
        <v>19</v>
      </c>
      <c r="D126">
        <f t="shared" si="42"/>
        <v>8</v>
      </c>
      <c r="E126">
        <f t="shared" si="43"/>
        <v>11</v>
      </c>
      <c r="F126">
        <v>1</v>
      </c>
      <c r="G126">
        <v>60</v>
      </c>
      <c r="H126">
        <v>60.209059233449402</v>
      </c>
      <c r="I126">
        <f t="shared" si="26"/>
        <v>60</v>
      </c>
      <c r="J126">
        <f t="shared" si="27"/>
        <v>1143.9721254355386</v>
      </c>
      <c r="K126">
        <f t="shared" si="28"/>
        <v>1203.9721254355386</v>
      </c>
    </row>
    <row r="127" spans="1:11" x14ac:dyDescent="0.25">
      <c r="A127" t="s">
        <v>140</v>
      </c>
      <c r="B127" t="s">
        <v>8</v>
      </c>
      <c r="C127">
        <f t="shared" si="41"/>
        <v>19</v>
      </c>
      <c r="D127">
        <f t="shared" si="42"/>
        <v>8</v>
      </c>
      <c r="E127">
        <f t="shared" si="43"/>
        <v>11</v>
      </c>
      <c r="F127">
        <v>5</v>
      </c>
      <c r="G127">
        <v>0</v>
      </c>
      <c r="H127">
        <v>103.69337979094</v>
      </c>
      <c r="I127">
        <f t="shared" si="26"/>
        <v>0</v>
      </c>
      <c r="J127">
        <f t="shared" si="27"/>
        <v>1970.17421602786</v>
      </c>
      <c r="K127">
        <f t="shared" si="28"/>
        <v>1970.17421602786</v>
      </c>
    </row>
    <row r="128" spans="1:11" x14ac:dyDescent="0.25">
      <c r="A128" t="s">
        <v>141</v>
      </c>
      <c r="B128" t="s">
        <v>8</v>
      </c>
      <c r="C128">
        <f t="shared" si="41"/>
        <v>19</v>
      </c>
      <c r="D128">
        <f t="shared" si="42"/>
        <v>8</v>
      </c>
      <c r="E128">
        <f t="shared" si="43"/>
        <v>11</v>
      </c>
      <c r="F128">
        <v>5</v>
      </c>
      <c r="G128">
        <v>10</v>
      </c>
      <c r="H128">
        <v>86.5505226480836</v>
      </c>
      <c r="I128">
        <f t="shared" si="26"/>
        <v>50</v>
      </c>
      <c r="J128">
        <f t="shared" si="27"/>
        <v>1644.4599303135883</v>
      </c>
      <c r="K128">
        <f t="shared" si="28"/>
        <v>1694.4599303135883</v>
      </c>
    </row>
    <row r="129" spans="1:11" x14ac:dyDescent="0.25">
      <c r="A129" t="s">
        <v>142</v>
      </c>
      <c r="B129" t="s">
        <v>8</v>
      </c>
      <c r="C129">
        <f t="shared" si="41"/>
        <v>19</v>
      </c>
      <c r="D129">
        <f t="shared" si="42"/>
        <v>8</v>
      </c>
      <c r="E129">
        <f t="shared" si="43"/>
        <v>11</v>
      </c>
      <c r="F129">
        <v>5</v>
      </c>
      <c r="G129">
        <v>30</v>
      </c>
      <c r="H129">
        <v>58.9547038327526</v>
      </c>
      <c r="I129">
        <f t="shared" si="26"/>
        <v>150</v>
      </c>
      <c r="J129">
        <f t="shared" si="27"/>
        <v>1120.1393728222995</v>
      </c>
      <c r="K129">
        <f t="shared" si="28"/>
        <v>1270.1393728222995</v>
      </c>
    </row>
    <row r="130" spans="1:11" x14ac:dyDescent="0.25">
      <c r="A130" t="s">
        <v>143</v>
      </c>
      <c r="B130" t="s">
        <v>8</v>
      </c>
      <c r="C130">
        <f t="shared" si="41"/>
        <v>19</v>
      </c>
      <c r="D130">
        <f t="shared" si="42"/>
        <v>8</v>
      </c>
      <c r="E130">
        <f t="shared" si="43"/>
        <v>11</v>
      </c>
      <c r="F130">
        <v>5</v>
      </c>
      <c r="G130">
        <v>60</v>
      </c>
      <c r="H130">
        <v>53.937282229965099</v>
      </c>
      <c r="I130">
        <f t="shared" si="26"/>
        <v>300</v>
      </c>
      <c r="J130">
        <f t="shared" si="27"/>
        <v>1024.8083623693369</v>
      </c>
      <c r="K130">
        <f t="shared" si="28"/>
        <v>1324.8083623693369</v>
      </c>
    </row>
    <row r="131" spans="1:11" x14ac:dyDescent="0.25">
      <c r="A131" t="s">
        <v>144</v>
      </c>
      <c r="B131" t="s">
        <v>8</v>
      </c>
      <c r="C131">
        <f t="shared" si="41"/>
        <v>19</v>
      </c>
      <c r="D131">
        <f t="shared" si="42"/>
        <v>8</v>
      </c>
      <c r="E131">
        <f t="shared" si="43"/>
        <v>11</v>
      </c>
      <c r="F131">
        <v>9</v>
      </c>
      <c r="G131">
        <v>0</v>
      </c>
      <c r="H131">
        <v>103.275261324041</v>
      </c>
      <c r="I131">
        <f t="shared" si="26"/>
        <v>0</v>
      </c>
      <c r="J131">
        <f t="shared" si="27"/>
        <v>1962.2299651567789</v>
      </c>
      <c r="K131">
        <f t="shared" si="28"/>
        <v>1962.2299651567789</v>
      </c>
    </row>
    <row r="132" spans="1:11" x14ac:dyDescent="0.25">
      <c r="A132" t="s">
        <v>145</v>
      </c>
      <c r="B132" t="s">
        <v>8</v>
      </c>
      <c r="C132">
        <f t="shared" si="41"/>
        <v>19</v>
      </c>
      <c r="D132">
        <f t="shared" si="42"/>
        <v>8</v>
      </c>
      <c r="E132">
        <f t="shared" si="43"/>
        <v>11</v>
      </c>
      <c r="F132">
        <v>9</v>
      </c>
      <c r="G132">
        <v>10</v>
      </c>
      <c r="H132">
        <v>68.153310104529595</v>
      </c>
      <c r="I132">
        <f t="shared" ref="I132:I194" si="44">F132*G132</f>
        <v>90</v>
      </c>
      <c r="J132">
        <f t="shared" ref="J132:J194" si="45">H132*C132</f>
        <v>1294.9128919860623</v>
      </c>
      <c r="K132">
        <f t="shared" ref="K132:K194" si="46">J132+I132</f>
        <v>1384.9128919860623</v>
      </c>
    </row>
    <row r="133" spans="1:11" x14ac:dyDescent="0.25">
      <c r="A133" t="s">
        <v>146</v>
      </c>
      <c r="B133" t="s">
        <v>8</v>
      </c>
      <c r="C133">
        <f t="shared" si="41"/>
        <v>19</v>
      </c>
      <c r="D133">
        <f t="shared" si="42"/>
        <v>8</v>
      </c>
      <c r="E133">
        <f t="shared" si="43"/>
        <v>11</v>
      </c>
      <c r="F133">
        <v>9</v>
      </c>
      <c r="G133">
        <v>30</v>
      </c>
      <c r="H133">
        <v>54.773519163762998</v>
      </c>
      <c r="I133">
        <f t="shared" si="44"/>
        <v>270</v>
      </c>
      <c r="J133">
        <f t="shared" si="45"/>
        <v>1040.696864111497</v>
      </c>
      <c r="K133">
        <f t="shared" si="46"/>
        <v>1310.696864111497</v>
      </c>
    </row>
    <row r="134" spans="1:11" x14ac:dyDescent="0.25">
      <c r="A134" t="s">
        <v>147</v>
      </c>
      <c r="B134" t="s">
        <v>8</v>
      </c>
      <c r="C134">
        <f t="shared" si="41"/>
        <v>19</v>
      </c>
      <c r="D134">
        <f t="shared" si="42"/>
        <v>8</v>
      </c>
      <c r="E134">
        <f t="shared" si="43"/>
        <v>11</v>
      </c>
      <c r="F134">
        <v>9</v>
      </c>
      <c r="G134">
        <v>60</v>
      </c>
      <c r="H134">
        <v>41.811846689895397</v>
      </c>
      <c r="I134">
        <f t="shared" si="44"/>
        <v>540</v>
      </c>
      <c r="J134">
        <f t="shared" si="45"/>
        <v>794.42508710801258</v>
      </c>
      <c r="K134">
        <f t="shared" si="46"/>
        <v>1334.4250871080126</v>
      </c>
    </row>
    <row r="135" spans="1:11" x14ac:dyDescent="0.25">
      <c r="A135" t="s">
        <v>148</v>
      </c>
      <c r="B135" t="s">
        <v>8</v>
      </c>
      <c r="C135">
        <v>19</v>
      </c>
      <c r="D135">
        <v>16</v>
      </c>
      <c r="E135">
        <v>11</v>
      </c>
      <c r="F135">
        <v>1</v>
      </c>
      <c r="G135">
        <v>0</v>
      </c>
      <c r="H135">
        <v>103.69337979094</v>
      </c>
      <c r="I135">
        <f t="shared" si="44"/>
        <v>0</v>
      </c>
      <c r="J135">
        <f t="shared" si="45"/>
        <v>1970.17421602786</v>
      </c>
      <c r="K135">
        <f t="shared" si="46"/>
        <v>1970.17421602786</v>
      </c>
    </row>
    <row r="136" spans="1:11" x14ac:dyDescent="0.25">
      <c r="A136" t="s">
        <v>149</v>
      </c>
      <c r="B136" t="s">
        <v>8</v>
      </c>
      <c r="C136">
        <f t="shared" ref="C136:C146" si="47">C135</f>
        <v>19</v>
      </c>
      <c r="D136">
        <f t="shared" ref="D136:D146" si="48">D135</f>
        <v>16</v>
      </c>
      <c r="E136">
        <f t="shared" ref="E136:E146" si="49">E135</f>
        <v>11</v>
      </c>
      <c r="F136">
        <v>1</v>
      </c>
      <c r="G136">
        <v>10</v>
      </c>
      <c r="H136">
        <v>84.878048780487703</v>
      </c>
      <c r="I136">
        <f t="shared" si="44"/>
        <v>10</v>
      </c>
      <c r="J136">
        <f t="shared" si="45"/>
        <v>1612.6829268292663</v>
      </c>
      <c r="K136">
        <f t="shared" si="46"/>
        <v>1622.6829268292663</v>
      </c>
    </row>
    <row r="137" spans="1:11" x14ac:dyDescent="0.25">
      <c r="A137" t="s">
        <v>150</v>
      </c>
      <c r="B137" t="s">
        <v>8</v>
      </c>
      <c r="C137">
        <f t="shared" si="47"/>
        <v>19</v>
      </c>
      <c r="D137">
        <f t="shared" si="48"/>
        <v>16</v>
      </c>
      <c r="E137">
        <f t="shared" si="49"/>
        <v>11</v>
      </c>
      <c r="F137">
        <v>1</v>
      </c>
      <c r="G137">
        <v>30</v>
      </c>
      <c r="H137">
        <v>74.843205574912801</v>
      </c>
      <c r="I137">
        <f t="shared" si="44"/>
        <v>30</v>
      </c>
      <c r="J137">
        <f t="shared" si="45"/>
        <v>1422.0209059233432</v>
      </c>
      <c r="K137">
        <f t="shared" si="46"/>
        <v>1452.0209059233432</v>
      </c>
    </row>
    <row r="138" spans="1:11" x14ac:dyDescent="0.25">
      <c r="A138" t="s">
        <v>151</v>
      </c>
      <c r="B138" t="s">
        <v>8</v>
      </c>
      <c r="C138">
        <f t="shared" si="47"/>
        <v>19</v>
      </c>
      <c r="D138">
        <f t="shared" si="48"/>
        <v>16</v>
      </c>
      <c r="E138">
        <f t="shared" si="49"/>
        <v>11</v>
      </c>
      <c r="F138">
        <v>1</v>
      </c>
      <c r="G138">
        <v>60</v>
      </c>
      <c r="H138">
        <v>68.571428571428498</v>
      </c>
      <c r="I138">
        <f t="shared" si="44"/>
        <v>60</v>
      </c>
      <c r="J138">
        <f t="shared" si="45"/>
        <v>1302.8571428571415</v>
      </c>
      <c r="K138">
        <f t="shared" si="46"/>
        <v>1362.8571428571415</v>
      </c>
    </row>
    <row r="139" spans="1:11" x14ac:dyDescent="0.25">
      <c r="A139" t="s">
        <v>152</v>
      </c>
      <c r="B139" t="s">
        <v>8</v>
      </c>
      <c r="C139">
        <f t="shared" si="47"/>
        <v>19</v>
      </c>
      <c r="D139">
        <f t="shared" si="48"/>
        <v>16</v>
      </c>
      <c r="E139">
        <f t="shared" si="49"/>
        <v>11</v>
      </c>
      <c r="F139">
        <v>5</v>
      </c>
      <c r="G139">
        <v>0</v>
      </c>
      <c r="H139">
        <v>103.69337979094</v>
      </c>
      <c r="I139">
        <f t="shared" si="44"/>
        <v>0</v>
      </c>
      <c r="J139">
        <f t="shared" si="45"/>
        <v>1970.17421602786</v>
      </c>
      <c r="K139">
        <f t="shared" si="46"/>
        <v>1970.17421602786</v>
      </c>
    </row>
    <row r="140" spans="1:11" x14ac:dyDescent="0.25">
      <c r="A140" t="s">
        <v>153</v>
      </c>
      <c r="B140" t="s">
        <v>8</v>
      </c>
      <c r="C140">
        <f t="shared" si="47"/>
        <v>19</v>
      </c>
      <c r="D140">
        <f t="shared" si="48"/>
        <v>16</v>
      </c>
      <c r="E140">
        <f t="shared" si="49"/>
        <v>11</v>
      </c>
      <c r="F140">
        <v>5</v>
      </c>
      <c r="G140">
        <v>10</v>
      </c>
      <c r="H140">
        <v>83.205574912891905</v>
      </c>
      <c r="I140">
        <f t="shared" si="44"/>
        <v>50</v>
      </c>
      <c r="J140">
        <f t="shared" si="45"/>
        <v>1580.9059233449461</v>
      </c>
      <c r="K140">
        <f t="shared" si="46"/>
        <v>1630.9059233449461</v>
      </c>
    </row>
    <row r="141" spans="1:11" x14ac:dyDescent="0.25">
      <c r="A141" t="s">
        <v>154</v>
      </c>
      <c r="B141" t="s">
        <v>8</v>
      </c>
      <c r="C141">
        <f t="shared" si="47"/>
        <v>19</v>
      </c>
      <c r="D141">
        <f t="shared" si="48"/>
        <v>16</v>
      </c>
      <c r="E141">
        <f t="shared" si="49"/>
        <v>11</v>
      </c>
      <c r="F141">
        <v>5</v>
      </c>
      <c r="G141">
        <v>30</v>
      </c>
      <c r="H141">
        <v>63.135888501742102</v>
      </c>
      <c r="I141">
        <f t="shared" si="44"/>
        <v>150</v>
      </c>
      <c r="J141">
        <f t="shared" si="45"/>
        <v>1199.5818815330999</v>
      </c>
      <c r="K141">
        <f t="shared" si="46"/>
        <v>1349.5818815330999</v>
      </c>
    </row>
    <row r="142" spans="1:11" x14ac:dyDescent="0.25">
      <c r="A142" t="s">
        <v>155</v>
      </c>
      <c r="B142" t="s">
        <v>8</v>
      </c>
      <c r="C142">
        <f t="shared" si="47"/>
        <v>19</v>
      </c>
      <c r="D142">
        <f t="shared" si="48"/>
        <v>16</v>
      </c>
      <c r="E142">
        <f t="shared" si="49"/>
        <v>11</v>
      </c>
      <c r="F142">
        <v>5</v>
      </c>
      <c r="G142">
        <v>60</v>
      </c>
      <c r="H142">
        <v>53.519163763066103</v>
      </c>
      <c r="I142">
        <f t="shared" si="44"/>
        <v>300</v>
      </c>
      <c r="J142">
        <f t="shared" si="45"/>
        <v>1016.864111498256</v>
      </c>
      <c r="K142">
        <f t="shared" si="46"/>
        <v>1316.8641114982561</v>
      </c>
    </row>
    <row r="143" spans="1:11" x14ac:dyDescent="0.25">
      <c r="A143" t="s">
        <v>156</v>
      </c>
      <c r="B143" t="s">
        <v>8</v>
      </c>
      <c r="C143">
        <f t="shared" si="47"/>
        <v>19</v>
      </c>
      <c r="D143">
        <f t="shared" si="48"/>
        <v>16</v>
      </c>
      <c r="E143">
        <f t="shared" si="49"/>
        <v>11</v>
      </c>
      <c r="F143">
        <v>9</v>
      </c>
      <c r="G143">
        <v>0</v>
      </c>
      <c r="H143">
        <v>103.69337979094</v>
      </c>
      <c r="I143">
        <f t="shared" si="44"/>
        <v>0</v>
      </c>
      <c r="J143">
        <f t="shared" si="45"/>
        <v>1970.17421602786</v>
      </c>
      <c r="K143">
        <f t="shared" si="46"/>
        <v>1970.17421602786</v>
      </c>
    </row>
    <row r="144" spans="1:11" x14ac:dyDescent="0.25">
      <c r="A144" t="s">
        <v>157</v>
      </c>
      <c r="B144" t="s">
        <v>8</v>
      </c>
      <c r="C144">
        <f t="shared" si="47"/>
        <v>19</v>
      </c>
      <c r="D144">
        <f t="shared" si="48"/>
        <v>16</v>
      </c>
      <c r="E144">
        <f t="shared" si="49"/>
        <v>11</v>
      </c>
      <c r="F144">
        <v>9</v>
      </c>
      <c r="G144">
        <v>10</v>
      </c>
      <c r="H144">
        <v>68.571428571428498</v>
      </c>
      <c r="I144">
        <f t="shared" si="44"/>
        <v>90</v>
      </c>
      <c r="J144">
        <f t="shared" si="45"/>
        <v>1302.8571428571415</v>
      </c>
      <c r="K144">
        <f t="shared" si="46"/>
        <v>1392.8571428571415</v>
      </c>
    </row>
    <row r="145" spans="1:11" x14ac:dyDescent="0.25">
      <c r="A145" t="s">
        <v>158</v>
      </c>
      <c r="B145" t="s">
        <v>8</v>
      </c>
      <c r="C145">
        <f t="shared" si="47"/>
        <v>19</v>
      </c>
      <c r="D145">
        <f t="shared" si="48"/>
        <v>16</v>
      </c>
      <c r="E145">
        <f t="shared" si="49"/>
        <v>11</v>
      </c>
      <c r="F145">
        <v>9</v>
      </c>
      <c r="G145">
        <v>30</v>
      </c>
      <c r="H145">
        <v>59.790940766550499</v>
      </c>
      <c r="I145">
        <f t="shared" si="44"/>
        <v>270</v>
      </c>
      <c r="J145">
        <f t="shared" si="45"/>
        <v>1136.0278745644596</v>
      </c>
      <c r="K145">
        <f t="shared" si="46"/>
        <v>1406.0278745644596</v>
      </c>
    </row>
    <row r="146" spans="1:11" x14ac:dyDescent="0.25">
      <c r="A146" t="s">
        <v>159</v>
      </c>
      <c r="B146" t="s">
        <v>8</v>
      </c>
      <c r="C146">
        <f t="shared" si="47"/>
        <v>19</v>
      </c>
      <c r="D146">
        <f t="shared" si="48"/>
        <v>16</v>
      </c>
      <c r="E146">
        <f t="shared" si="49"/>
        <v>11</v>
      </c>
      <c r="F146">
        <v>9</v>
      </c>
      <c r="G146">
        <v>60</v>
      </c>
      <c r="H146">
        <v>50.1742160278745</v>
      </c>
      <c r="I146">
        <f t="shared" si="44"/>
        <v>540</v>
      </c>
      <c r="J146">
        <f t="shared" si="45"/>
        <v>953.3101045296155</v>
      </c>
      <c r="K146">
        <f t="shared" si="46"/>
        <v>1493.3101045296155</v>
      </c>
    </row>
    <row r="147" spans="1:11" x14ac:dyDescent="0.25">
      <c r="A147" t="s">
        <v>160</v>
      </c>
      <c r="B147" t="s">
        <v>8</v>
      </c>
      <c r="C147">
        <v>12</v>
      </c>
      <c r="D147">
        <v>8</v>
      </c>
      <c r="E147">
        <v>16</v>
      </c>
      <c r="F147">
        <v>1</v>
      </c>
      <c r="G147">
        <v>0</v>
      </c>
      <c r="H147">
        <v>73.910034602076095</v>
      </c>
      <c r="I147">
        <f t="shared" si="44"/>
        <v>0</v>
      </c>
      <c r="J147">
        <f t="shared" si="45"/>
        <v>886.92041522491309</v>
      </c>
      <c r="K147">
        <f t="shared" si="46"/>
        <v>886.92041522491309</v>
      </c>
    </row>
    <row r="148" spans="1:11" x14ac:dyDescent="0.25">
      <c r="A148" t="s">
        <v>161</v>
      </c>
      <c r="B148" t="s">
        <v>8</v>
      </c>
      <c r="C148">
        <f t="shared" ref="C148:C158" si="50">C147</f>
        <v>12</v>
      </c>
      <c r="D148">
        <f t="shared" ref="D148:D158" si="51">D147</f>
        <v>8</v>
      </c>
      <c r="E148">
        <v>16</v>
      </c>
      <c r="F148">
        <v>1</v>
      </c>
      <c r="G148">
        <v>10</v>
      </c>
      <c r="H148">
        <v>66.020761245674706</v>
      </c>
      <c r="I148">
        <f t="shared" si="44"/>
        <v>10</v>
      </c>
      <c r="J148">
        <f t="shared" si="45"/>
        <v>792.24913494809653</v>
      </c>
      <c r="K148">
        <f t="shared" si="46"/>
        <v>802.24913494809653</v>
      </c>
    </row>
    <row r="149" spans="1:11" x14ac:dyDescent="0.25">
      <c r="A149" t="s">
        <v>162</v>
      </c>
      <c r="B149" t="s">
        <v>8</v>
      </c>
      <c r="C149">
        <f t="shared" si="50"/>
        <v>12</v>
      </c>
      <c r="D149">
        <f t="shared" si="51"/>
        <v>8</v>
      </c>
      <c r="E149">
        <v>16</v>
      </c>
      <c r="F149">
        <v>1</v>
      </c>
      <c r="G149">
        <v>30</v>
      </c>
      <c r="H149">
        <v>53.979238754325202</v>
      </c>
      <c r="I149">
        <f t="shared" si="44"/>
        <v>30</v>
      </c>
      <c r="J149">
        <f t="shared" si="45"/>
        <v>647.75086505190245</v>
      </c>
      <c r="K149">
        <f t="shared" si="46"/>
        <v>677.75086505190245</v>
      </c>
    </row>
    <row r="150" spans="1:11" x14ac:dyDescent="0.25">
      <c r="A150" t="s">
        <v>163</v>
      </c>
      <c r="B150" t="s">
        <v>8</v>
      </c>
      <c r="C150">
        <f t="shared" si="50"/>
        <v>12</v>
      </c>
      <c r="D150">
        <f t="shared" si="51"/>
        <v>8</v>
      </c>
      <c r="E150">
        <v>16</v>
      </c>
      <c r="F150">
        <v>1</v>
      </c>
      <c r="G150">
        <v>60</v>
      </c>
      <c r="H150">
        <v>51.903114186851198</v>
      </c>
      <c r="I150">
        <f t="shared" si="44"/>
        <v>60</v>
      </c>
      <c r="J150">
        <f t="shared" si="45"/>
        <v>622.83737024221432</v>
      </c>
      <c r="K150">
        <f t="shared" si="46"/>
        <v>682.83737024221432</v>
      </c>
    </row>
    <row r="151" spans="1:11" x14ac:dyDescent="0.25">
      <c r="A151" t="s">
        <v>164</v>
      </c>
      <c r="B151" t="s">
        <v>8</v>
      </c>
      <c r="C151">
        <f t="shared" si="50"/>
        <v>12</v>
      </c>
      <c r="D151">
        <f t="shared" si="51"/>
        <v>8</v>
      </c>
      <c r="E151">
        <v>16</v>
      </c>
      <c r="F151">
        <v>5</v>
      </c>
      <c r="G151">
        <v>0</v>
      </c>
      <c r="H151">
        <v>73.910034602076095</v>
      </c>
      <c r="I151">
        <f t="shared" si="44"/>
        <v>0</v>
      </c>
      <c r="J151">
        <f t="shared" si="45"/>
        <v>886.92041522491309</v>
      </c>
      <c r="K151">
        <f t="shared" si="46"/>
        <v>886.92041522491309</v>
      </c>
    </row>
    <row r="152" spans="1:11" x14ac:dyDescent="0.25">
      <c r="A152" t="s">
        <v>165</v>
      </c>
      <c r="B152" t="s">
        <v>8</v>
      </c>
      <c r="C152">
        <f t="shared" si="50"/>
        <v>12</v>
      </c>
      <c r="D152">
        <f t="shared" si="51"/>
        <v>8</v>
      </c>
      <c r="E152">
        <v>16</v>
      </c>
      <c r="F152">
        <v>5</v>
      </c>
      <c r="G152">
        <v>10</v>
      </c>
      <c r="H152">
        <v>64.775086505190302</v>
      </c>
      <c r="I152">
        <f t="shared" si="44"/>
        <v>50</v>
      </c>
      <c r="J152">
        <f t="shared" si="45"/>
        <v>777.30103806228362</v>
      </c>
      <c r="K152">
        <f t="shared" si="46"/>
        <v>827.30103806228362</v>
      </c>
    </row>
    <row r="153" spans="1:11" x14ac:dyDescent="0.25">
      <c r="A153" t="s">
        <v>166</v>
      </c>
      <c r="B153" t="s">
        <v>8</v>
      </c>
      <c r="C153">
        <f t="shared" si="50"/>
        <v>12</v>
      </c>
      <c r="D153">
        <f t="shared" si="51"/>
        <v>8</v>
      </c>
      <c r="E153">
        <v>16</v>
      </c>
      <c r="F153">
        <v>5</v>
      </c>
      <c r="G153">
        <v>30</v>
      </c>
      <c r="H153">
        <v>51.903114186851198</v>
      </c>
      <c r="I153">
        <f t="shared" si="44"/>
        <v>150</v>
      </c>
      <c r="J153">
        <f t="shared" si="45"/>
        <v>622.83737024221432</v>
      </c>
      <c r="K153">
        <f t="shared" si="46"/>
        <v>772.83737024221432</v>
      </c>
    </row>
    <row r="154" spans="1:11" x14ac:dyDescent="0.25">
      <c r="A154" t="s">
        <v>167</v>
      </c>
      <c r="B154" t="s">
        <v>8</v>
      </c>
      <c r="C154">
        <f t="shared" si="50"/>
        <v>12</v>
      </c>
      <c r="D154">
        <f t="shared" si="51"/>
        <v>8</v>
      </c>
      <c r="E154">
        <v>16</v>
      </c>
      <c r="F154">
        <v>5</v>
      </c>
      <c r="G154">
        <v>60</v>
      </c>
      <c r="H154">
        <v>48.166089965397902</v>
      </c>
      <c r="I154">
        <f t="shared" si="44"/>
        <v>300</v>
      </c>
      <c r="J154">
        <f t="shared" si="45"/>
        <v>577.99307958477482</v>
      </c>
      <c r="K154">
        <f t="shared" si="46"/>
        <v>877.99307958477482</v>
      </c>
    </row>
    <row r="155" spans="1:11" x14ac:dyDescent="0.25">
      <c r="A155" t="s">
        <v>168</v>
      </c>
      <c r="B155" t="s">
        <v>8</v>
      </c>
      <c r="C155">
        <f t="shared" si="50"/>
        <v>12</v>
      </c>
      <c r="D155">
        <f t="shared" si="51"/>
        <v>8</v>
      </c>
      <c r="E155">
        <v>16</v>
      </c>
      <c r="F155">
        <v>9</v>
      </c>
      <c r="G155">
        <v>0</v>
      </c>
      <c r="H155">
        <v>73.910034602076095</v>
      </c>
      <c r="I155">
        <f t="shared" si="44"/>
        <v>0</v>
      </c>
      <c r="J155">
        <f t="shared" si="45"/>
        <v>886.92041522491309</v>
      </c>
      <c r="K155">
        <f t="shared" si="46"/>
        <v>886.92041522491309</v>
      </c>
    </row>
    <row r="156" spans="1:11" x14ac:dyDescent="0.25">
      <c r="A156" t="s">
        <v>169</v>
      </c>
      <c r="B156" t="s">
        <v>8</v>
      </c>
      <c r="C156">
        <f t="shared" si="50"/>
        <v>12</v>
      </c>
      <c r="D156">
        <f t="shared" si="51"/>
        <v>8</v>
      </c>
      <c r="E156">
        <v>16</v>
      </c>
      <c r="F156">
        <v>9</v>
      </c>
      <c r="G156">
        <v>10</v>
      </c>
      <c r="H156">
        <v>63.529411764705898</v>
      </c>
      <c r="I156">
        <f t="shared" si="44"/>
        <v>90</v>
      </c>
      <c r="J156">
        <f t="shared" si="45"/>
        <v>762.35294117647072</v>
      </c>
      <c r="K156">
        <f t="shared" si="46"/>
        <v>852.35294117647072</v>
      </c>
    </row>
    <row r="157" spans="1:11" x14ac:dyDescent="0.25">
      <c r="A157" t="s">
        <v>170</v>
      </c>
      <c r="B157" t="s">
        <v>8</v>
      </c>
      <c r="C157">
        <f t="shared" si="50"/>
        <v>12</v>
      </c>
      <c r="D157">
        <f t="shared" si="51"/>
        <v>8</v>
      </c>
      <c r="E157">
        <v>16</v>
      </c>
      <c r="F157">
        <v>9</v>
      </c>
      <c r="G157">
        <v>30</v>
      </c>
      <c r="H157">
        <v>56.885813148788799</v>
      </c>
      <c r="I157">
        <f t="shared" si="44"/>
        <v>270</v>
      </c>
      <c r="J157">
        <f t="shared" si="45"/>
        <v>682.62975778546559</v>
      </c>
      <c r="K157">
        <f t="shared" si="46"/>
        <v>952.62975778546559</v>
      </c>
    </row>
    <row r="158" spans="1:11" x14ac:dyDescent="0.25">
      <c r="A158" t="s">
        <v>171</v>
      </c>
      <c r="B158" t="s">
        <v>8</v>
      </c>
      <c r="C158">
        <f t="shared" si="50"/>
        <v>12</v>
      </c>
      <c r="D158">
        <f t="shared" si="51"/>
        <v>8</v>
      </c>
      <c r="E158">
        <v>16</v>
      </c>
      <c r="F158">
        <v>9</v>
      </c>
      <c r="G158">
        <v>60</v>
      </c>
      <c r="H158">
        <v>36.955017301037998</v>
      </c>
      <c r="I158">
        <f t="shared" si="44"/>
        <v>540</v>
      </c>
      <c r="J158">
        <f t="shared" si="45"/>
        <v>443.46020761245597</v>
      </c>
      <c r="K158">
        <f t="shared" si="46"/>
        <v>983.46020761245597</v>
      </c>
    </row>
    <row r="159" spans="1:11" x14ac:dyDescent="0.25">
      <c r="A159" t="s">
        <v>172</v>
      </c>
      <c r="B159" t="s">
        <v>8</v>
      </c>
      <c r="C159">
        <v>12</v>
      </c>
      <c r="D159">
        <v>16</v>
      </c>
      <c r="E159">
        <v>16</v>
      </c>
      <c r="F159">
        <v>1</v>
      </c>
      <c r="G159">
        <v>0</v>
      </c>
      <c r="H159">
        <v>73.910034602076095</v>
      </c>
      <c r="I159">
        <f t="shared" si="44"/>
        <v>0</v>
      </c>
      <c r="J159">
        <f t="shared" si="45"/>
        <v>886.92041522491309</v>
      </c>
      <c r="K159">
        <f t="shared" si="46"/>
        <v>886.92041522491309</v>
      </c>
    </row>
    <row r="160" spans="1:11" x14ac:dyDescent="0.25">
      <c r="A160" t="s">
        <v>173</v>
      </c>
      <c r="B160" t="s">
        <v>8</v>
      </c>
      <c r="C160">
        <f t="shared" ref="C160:C170" si="52">C159</f>
        <v>12</v>
      </c>
      <c r="D160">
        <f t="shared" ref="D160:D170" si="53">D159</f>
        <v>16</v>
      </c>
      <c r="E160">
        <v>16</v>
      </c>
      <c r="F160">
        <v>1</v>
      </c>
      <c r="G160">
        <v>10</v>
      </c>
      <c r="H160">
        <v>66.851211072664299</v>
      </c>
      <c r="I160">
        <f t="shared" si="44"/>
        <v>10</v>
      </c>
      <c r="J160">
        <f t="shared" si="45"/>
        <v>802.21453287197164</v>
      </c>
      <c r="K160">
        <f t="shared" si="46"/>
        <v>812.21453287197164</v>
      </c>
    </row>
    <row r="161" spans="1:11" x14ac:dyDescent="0.25">
      <c r="A161" t="s">
        <v>174</v>
      </c>
      <c r="B161" t="s">
        <v>8</v>
      </c>
      <c r="C161">
        <f t="shared" si="52"/>
        <v>12</v>
      </c>
      <c r="D161">
        <f t="shared" si="53"/>
        <v>16</v>
      </c>
      <c r="E161">
        <v>16</v>
      </c>
      <c r="F161">
        <v>1</v>
      </c>
      <c r="G161">
        <v>30</v>
      </c>
      <c r="H161">
        <v>55.640138408304402</v>
      </c>
      <c r="I161">
        <f t="shared" si="44"/>
        <v>30</v>
      </c>
      <c r="J161">
        <f t="shared" si="45"/>
        <v>667.6816608996528</v>
      </c>
      <c r="K161">
        <f t="shared" si="46"/>
        <v>697.6816608996528</v>
      </c>
    </row>
    <row r="162" spans="1:11" x14ac:dyDescent="0.25">
      <c r="A162" t="s">
        <v>175</v>
      </c>
      <c r="B162" t="s">
        <v>8</v>
      </c>
      <c r="C162">
        <f t="shared" si="52"/>
        <v>12</v>
      </c>
      <c r="D162">
        <f t="shared" si="53"/>
        <v>16</v>
      </c>
      <c r="E162">
        <v>16</v>
      </c>
      <c r="F162">
        <v>1</v>
      </c>
      <c r="G162">
        <v>60</v>
      </c>
      <c r="H162">
        <v>44.429065743944598</v>
      </c>
      <c r="I162">
        <f t="shared" si="44"/>
        <v>60</v>
      </c>
      <c r="J162">
        <f t="shared" si="45"/>
        <v>533.1487889273352</v>
      </c>
      <c r="K162">
        <f t="shared" si="46"/>
        <v>593.1487889273352</v>
      </c>
    </row>
    <row r="163" spans="1:11" x14ac:dyDescent="0.25">
      <c r="A163" t="s">
        <v>176</v>
      </c>
      <c r="B163" t="s">
        <v>8</v>
      </c>
      <c r="C163">
        <f t="shared" si="52"/>
        <v>12</v>
      </c>
      <c r="D163">
        <f t="shared" si="53"/>
        <v>16</v>
      </c>
      <c r="E163">
        <v>16</v>
      </c>
      <c r="F163">
        <v>5</v>
      </c>
      <c r="G163">
        <v>0</v>
      </c>
      <c r="H163">
        <v>73.910034602076095</v>
      </c>
      <c r="I163">
        <f t="shared" si="44"/>
        <v>0</v>
      </c>
      <c r="J163">
        <f t="shared" si="45"/>
        <v>886.92041522491309</v>
      </c>
      <c r="K163">
        <f t="shared" si="46"/>
        <v>886.92041522491309</v>
      </c>
    </row>
    <row r="164" spans="1:11" x14ac:dyDescent="0.25">
      <c r="A164" t="s">
        <v>177</v>
      </c>
      <c r="B164" t="s">
        <v>8</v>
      </c>
      <c r="C164">
        <f t="shared" si="52"/>
        <v>12</v>
      </c>
      <c r="D164">
        <f t="shared" si="53"/>
        <v>16</v>
      </c>
      <c r="E164">
        <v>16</v>
      </c>
      <c r="F164">
        <v>5</v>
      </c>
      <c r="G164">
        <v>10</v>
      </c>
      <c r="H164">
        <v>64.359861591695505</v>
      </c>
      <c r="I164">
        <f t="shared" si="44"/>
        <v>50</v>
      </c>
      <c r="J164">
        <f t="shared" si="45"/>
        <v>772.31833910034607</v>
      </c>
      <c r="K164">
        <f t="shared" si="46"/>
        <v>822.31833910034607</v>
      </c>
    </row>
    <row r="165" spans="1:11" x14ac:dyDescent="0.25">
      <c r="A165" t="s">
        <v>178</v>
      </c>
      <c r="B165" t="s">
        <v>8</v>
      </c>
      <c r="C165">
        <f t="shared" si="52"/>
        <v>12</v>
      </c>
      <c r="D165">
        <f t="shared" si="53"/>
        <v>16</v>
      </c>
      <c r="E165">
        <v>16</v>
      </c>
      <c r="F165">
        <v>5</v>
      </c>
      <c r="G165">
        <v>30</v>
      </c>
      <c r="H165">
        <v>52.318339100346002</v>
      </c>
      <c r="I165">
        <f t="shared" si="44"/>
        <v>150</v>
      </c>
      <c r="J165">
        <f t="shared" si="45"/>
        <v>627.82006920415199</v>
      </c>
      <c r="K165">
        <f t="shared" si="46"/>
        <v>777.82006920415199</v>
      </c>
    </row>
    <row r="166" spans="1:11" x14ac:dyDescent="0.25">
      <c r="A166" t="s">
        <v>179</v>
      </c>
      <c r="B166" t="s">
        <v>8</v>
      </c>
      <c r="C166">
        <f t="shared" si="52"/>
        <v>12</v>
      </c>
      <c r="D166">
        <f t="shared" si="53"/>
        <v>16</v>
      </c>
      <c r="E166">
        <v>16</v>
      </c>
      <c r="F166">
        <v>5</v>
      </c>
      <c r="G166">
        <v>60</v>
      </c>
      <c r="H166">
        <v>40.692041522491301</v>
      </c>
      <c r="I166">
        <f t="shared" si="44"/>
        <v>300</v>
      </c>
      <c r="J166">
        <f t="shared" si="45"/>
        <v>488.30449826989559</v>
      </c>
      <c r="K166">
        <f t="shared" si="46"/>
        <v>788.30449826989559</v>
      </c>
    </row>
    <row r="167" spans="1:11" x14ac:dyDescent="0.25">
      <c r="A167" t="s">
        <v>180</v>
      </c>
      <c r="B167" t="s">
        <v>8</v>
      </c>
      <c r="C167">
        <f t="shared" si="52"/>
        <v>12</v>
      </c>
      <c r="D167">
        <f t="shared" si="53"/>
        <v>16</v>
      </c>
      <c r="E167">
        <v>16</v>
      </c>
      <c r="F167">
        <v>9</v>
      </c>
      <c r="G167">
        <v>0</v>
      </c>
      <c r="H167">
        <v>73.910034602076095</v>
      </c>
      <c r="I167">
        <f t="shared" si="44"/>
        <v>0</v>
      </c>
      <c r="J167">
        <f t="shared" si="45"/>
        <v>886.92041522491309</v>
      </c>
      <c r="K167">
        <f t="shared" si="46"/>
        <v>886.92041522491309</v>
      </c>
    </row>
    <row r="168" spans="1:11" x14ac:dyDescent="0.25">
      <c r="A168" t="s">
        <v>181</v>
      </c>
      <c r="B168" t="s">
        <v>8</v>
      </c>
      <c r="C168">
        <f t="shared" si="52"/>
        <v>12</v>
      </c>
      <c r="D168">
        <f t="shared" si="53"/>
        <v>16</v>
      </c>
      <c r="E168">
        <v>16</v>
      </c>
      <c r="F168">
        <v>9</v>
      </c>
      <c r="G168">
        <v>10</v>
      </c>
      <c r="H168">
        <v>61.038062283736998</v>
      </c>
      <c r="I168">
        <f t="shared" si="44"/>
        <v>90</v>
      </c>
      <c r="J168">
        <f t="shared" si="45"/>
        <v>732.45674740484401</v>
      </c>
      <c r="K168">
        <f t="shared" si="46"/>
        <v>822.45674740484401</v>
      </c>
    </row>
    <row r="169" spans="1:11" x14ac:dyDescent="0.25">
      <c r="A169" t="s">
        <v>182</v>
      </c>
      <c r="B169" t="s">
        <v>8</v>
      </c>
      <c r="C169">
        <f t="shared" si="52"/>
        <v>12</v>
      </c>
      <c r="D169">
        <f t="shared" si="53"/>
        <v>16</v>
      </c>
      <c r="E169">
        <v>16</v>
      </c>
      <c r="F169">
        <v>9</v>
      </c>
      <c r="G169">
        <v>30</v>
      </c>
      <c r="H169">
        <v>46.089965397923798</v>
      </c>
      <c r="I169">
        <f t="shared" si="44"/>
        <v>270</v>
      </c>
      <c r="J169">
        <f t="shared" si="45"/>
        <v>553.07958477508555</v>
      </c>
      <c r="K169">
        <f t="shared" si="46"/>
        <v>823.07958477508555</v>
      </c>
    </row>
    <row r="170" spans="1:11" x14ac:dyDescent="0.25">
      <c r="A170" t="s">
        <v>183</v>
      </c>
      <c r="B170" t="s">
        <v>8</v>
      </c>
      <c r="C170">
        <f t="shared" si="52"/>
        <v>12</v>
      </c>
      <c r="D170">
        <f t="shared" si="53"/>
        <v>16</v>
      </c>
      <c r="E170">
        <v>16</v>
      </c>
      <c r="F170">
        <v>9</v>
      </c>
      <c r="G170">
        <v>60</v>
      </c>
      <c r="H170">
        <v>30.311418685121001</v>
      </c>
      <c r="I170">
        <f t="shared" si="44"/>
        <v>540</v>
      </c>
      <c r="J170">
        <f t="shared" si="45"/>
        <v>363.73702422145203</v>
      </c>
      <c r="K170">
        <f t="shared" si="46"/>
        <v>903.73702422145197</v>
      </c>
    </row>
    <row r="171" spans="1:11" x14ac:dyDescent="0.25">
      <c r="A171" t="s">
        <v>184</v>
      </c>
      <c r="B171" t="s">
        <v>8</v>
      </c>
      <c r="C171">
        <v>19</v>
      </c>
      <c r="D171">
        <v>8</v>
      </c>
      <c r="E171">
        <v>16</v>
      </c>
      <c r="F171">
        <v>1</v>
      </c>
      <c r="G171">
        <v>0</v>
      </c>
      <c r="H171">
        <v>55.224913494809698</v>
      </c>
      <c r="I171">
        <f t="shared" si="44"/>
        <v>0</v>
      </c>
      <c r="J171">
        <f t="shared" si="45"/>
        <v>1049.2733564013843</v>
      </c>
      <c r="K171">
        <f t="shared" si="46"/>
        <v>1049.2733564013843</v>
      </c>
    </row>
    <row r="172" spans="1:11" x14ac:dyDescent="0.25">
      <c r="A172" t="s">
        <v>185</v>
      </c>
      <c r="B172" t="s">
        <v>8</v>
      </c>
      <c r="C172">
        <f t="shared" ref="C172:C182" si="54">C171</f>
        <v>19</v>
      </c>
      <c r="D172">
        <f t="shared" ref="D172:D182" si="55">D171</f>
        <v>8</v>
      </c>
      <c r="E172">
        <v>16</v>
      </c>
      <c r="F172">
        <v>1</v>
      </c>
      <c r="G172">
        <v>10</v>
      </c>
      <c r="H172">
        <v>48.581314878892698</v>
      </c>
      <c r="I172">
        <f t="shared" si="44"/>
        <v>10</v>
      </c>
      <c r="J172">
        <f t="shared" si="45"/>
        <v>923.04498269896123</v>
      </c>
      <c r="K172">
        <f t="shared" si="46"/>
        <v>933.04498269896123</v>
      </c>
    </row>
    <row r="173" spans="1:11" x14ac:dyDescent="0.25">
      <c r="A173" t="s">
        <v>186</v>
      </c>
      <c r="B173" t="s">
        <v>8</v>
      </c>
      <c r="C173">
        <f t="shared" si="54"/>
        <v>19</v>
      </c>
      <c r="D173">
        <f t="shared" si="55"/>
        <v>8</v>
      </c>
      <c r="E173">
        <v>16</v>
      </c>
      <c r="F173">
        <v>1</v>
      </c>
      <c r="G173">
        <v>30</v>
      </c>
      <c r="H173">
        <v>39.446366782006898</v>
      </c>
      <c r="I173">
        <f t="shared" si="44"/>
        <v>30</v>
      </c>
      <c r="J173">
        <f t="shared" si="45"/>
        <v>749.48096885813106</v>
      </c>
      <c r="K173">
        <f t="shared" si="46"/>
        <v>779.48096885813106</v>
      </c>
    </row>
    <row r="174" spans="1:11" x14ac:dyDescent="0.25">
      <c r="A174" t="s">
        <v>187</v>
      </c>
      <c r="B174" t="s">
        <v>8</v>
      </c>
      <c r="C174">
        <f t="shared" si="54"/>
        <v>19</v>
      </c>
      <c r="D174">
        <f t="shared" si="55"/>
        <v>8</v>
      </c>
      <c r="E174">
        <v>16</v>
      </c>
      <c r="F174">
        <v>1</v>
      </c>
      <c r="G174">
        <v>60</v>
      </c>
      <c r="H174">
        <v>37.785467128027598</v>
      </c>
      <c r="I174">
        <f t="shared" si="44"/>
        <v>60</v>
      </c>
      <c r="J174">
        <f t="shared" si="45"/>
        <v>717.92387543252437</v>
      </c>
      <c r="K174">
        <f t="shared" si="46"/>
        <v>777.92387543252437</v>
      </c>
    </row>
    <row r="175" spans="1:11" x14ac:dyDescent="0.25">
      <c r="A175" t="s">
        <v>188</v>
      </c>
      <c r="B175" t="s">
        <v>8</v>
      </c>
      <c r="C175">
        <f t="shared" si="54"/>
        <v>19</v>
      </c>
      <c r="D175">
        <f t="shared" si="55"/>
        <v>8</v>
      </c>
      <c r="E175">
        <v>16</v>
      </c>
      <c r="F175">
        <v>5</v>
      </c>
      <c r="G175">
        <v>0</v>
      </c>
      <c r="H175">
        <v>55.224913494809698</v>
      </c>
      <c r="I175">
        <f t="shared" si="44"/>
        <v>0</v>
      </c>
      <c r="J175">
        <f t="shared" si="45"/>
        <v>1049.2733564013843</v>
      </c>
      <c r="K175">
        <f t="shared" si="46"/>
        <v>1049.2733564013843</v>
      </c>
    </row>
    <row r="176" spans="1:11" x14ac:dyDescent="0.25">
      <c r="A176" t="s">
        <v>189</v>
      </c>
      <c r="B176" t="s">
        <v>8</v>
      </c>
      <c r="C176">
        <f t="shared" si="54"/>
        <v>19</v>
      </c>
      <c r="D176">
        <f t="shared" si="55"/>
        <v>8</v>
      </c>
      <c r="E176">
        <v>16</v>
      </c>
      <c r="F176">
        <v>5</v>
      </c>
      <c r="G176">
        <v>10</v>
      </c>
      <c r="H176">
        <v>46.505190311418602</v>
      </c>
      <c r="I176">
        <f t="shared" si="44"/>
        <v>50</v>
      </c>
      <c r="J176">
        <f t="shared" si="45"/>
        <v>883.59861591695346</v>
      </c>
      <c r="K176">
        <f t="shared" si="46"/>
        <v>933.59861591695346</v>
      </c>
    </row>
    <row r="177" spans="1:11" x14ac:dyDescent="0.25">
      <c r="A177" t="s">
        <v>190</v>
      </c>
      <c r="B177" t="s">
        <v>8</v>
      </c>
      <c r="C177">
        <f t="shared" si="54"/>
        <v>19</v>
      </c>
      <c r="D177">
        <f t="shared" si="55"/>
        <v>8</v>
      </c>
      <c r="E177">
        <v>16</v>
      </c>
      <c r="F177">
        <v>5</v>
      </c>
      <c r="G177">
        <v>30</v>
      </c>
      <c r="H177">
        <v>37.785467128027598</v>
      </c>
      <c r="I177">
        <f t="shared" si="44"/>
        <v>150</v>
      </c>
      <c r="J177">
        <f t="shared" si="45"/>
        <v>717.92387543252437</v>
      </c>
      <c r="K177">
        <f t="shared" si="46"/>
        <v>867.92387543252437</v>
      </c>
    </row>
    <row r="178" spans="1:11" x14ac:dyDescent="0.25">
      <c r="A178" t="s">
        <v>191</v>
      </c>
      <c r="B178" t="s">
        <v>8</v>
      </c>
      <c r="C178">
        <f t="shared" si="54"/>
        <v>19</v>
      </c>
      <c r="D178">
        <f t="shared" si="55"/>
        <v>8</v>
      </c>
      <c r="E178">
        <v>16</v>
      </c>
      <c r="F178">
        <v>5</v>
      </c>
      <c r="G178">
        <v>60</v>
      </c>
      <c r="H178">
        <v>33.633217993079597</v>
      </c>
      <c r="I178">
        <f t="shared" si="44"/>
        <v>300</v>
      </c>
      <c r="J178">
        <f t="shared" si="45"/>
        <v>639.03114186851235</v>
      </c>
      <c r="K178">
        <f t="shared" si="46"/>
        <v>939.03114186851235</v>
      </c>
    </row>
    <row r="179" spans="1:11" x14ac:dyDescent="0.25">
      <c r="A179" t="s">
        <v>192</v>
      </c>
      <c r="B179" t="s">
        <v>8</v>
      </c>
      <c r="C179">
        <f t="shared" si="54"/>
        <v>19</v>
      </c>
      <c r="D179">
        <f t="shared" si="55"/>
        <v>8</v>
      </c>
      <c r="E179">
        <v>16</v>
      </c>
      <c r="F179">
        <v>9</v>
      </c>
      <c r="G179">
        <v>0</v>
      </c>
      <c r="H179">
        <v>55.224913494809698</v>
      </c>
      <c r="I179">
        <f t="shared" si="44"/>
        <v>0</v>
      </c>
      <c r="J179">
        <f t="shared" si="45"/>
        <v>1049.2733564013843</v>
      </c>
      <c r="K179">
        <f t="shared" si="46"/>
        <v>1049.2733564013843</v>
      </c>
    </row>
    <row r="180" spans="1:11" x14ac:dyDescent="0.25">
      <c r="A180" t="s">
        <v>193</v>
      </c>
      <c r="B180" t="s">
        <v>8</v>
      </c>
      <c r="C180">
        <f t="shared" si="54"/>
        <v>19</v>
      </c>
      <c r="D180">
        <f t="shared" si="55"/>
        <v>8</v>
      </c>
      <c r="E180">
        <v>16</v>
      </c>
      <c r="F180">
        <v>9</v>
      </c>
      <c r="G180">
        <v>10</v>
      </c>
      <c r="H180">
        <v>44.429065743944598</v>
      </c>
      <c r="I180">
        <f t="shared" si="44"/>
        <v>90</v>
      </c>
      <c r="J180">
        <f t="shared" si="45"/>
        <v>844.1522491349474</v>
      </c>
      <c r="K180">
        <f t="shared" si="46"/>
        <v>934.1522491349474</v>
      </c>
    </row>
    <row r="181" spans="1:11" x14ac:dyDescent="0.25">
      <c r="A181" t="s">
        <v>194</v>
      </c>
      <c r="B181" t="s">
        <v>8</v>
      </c>
      <c r="C181">
        <f t="shared" si="54"/>
        <v>19</v>
      </c>
      <c r="D181">
        <f t="shared" si="55"/>
        <v>8</v>
      </c>
      <c r="E181">
        <v>16</v>
      </c>
      <c r="F181">
        <v>9</v>
      </c>
      <c r="G181">
        <v>30</v>
      </c>
      <c r="H181">
        <v>36.539792387543201</v>
      </c>
      <c r="I181">
        <f t="shared" si="44"/>
        <v>270</v>
      </c>
      <c r="J181">
        <f t="shared" si="45"/>
        <v>694.2560553633208</v>
      </c>
      <c r="K181">
        <f t="shared" si="46"/>
        <v>964.2560553633208</v>
      </c>
    </row>
    <row r="182" spans="1:11" x14ac:dyDescent="0.25">
      <c r="A182" t="s">
        <v>195</v>
      </c>
      <c r="B182" t="s">
        <v>8</v>
      </c>
      <c r="C182">
        <f t="shared" si="54"/>
        <v>19</v>
      </c>
      <c r="D182">
        <f t="shared" si="55"/>
        <v>8</v>
      </c>
      <c r="E182">
        <v>16</v>
      </c>
      <c r="F182">
        <v>9</v>
      </c>
      <c r="G182">
        <v>60</v>
      </c>
      <c r="H182">
        <v>26.989619377162601</v>
      </c>
      <c r="I182">
        <f t="shared" si="44"/>
        <v>540</v>
      </c>
      <c r="J182">
        <f t="shared" si="45"/>
        <v>512.80276816608944</v>
      </c>
      <c r="K182">
        <f t="shared" si="46"/>
        <v>1052.8027681660894</v>
      </c>
    </row>
    <row r="183" spans="1:11" x14ac:dyDescent="0.25">
      <c r="A183" t="s">
        <v>196</v>
      </c>
      <c r="B183" t="s">
        <v>8</v>
      </c>
      <c r="C183">
        <v>19</v>
      </c>
      <c r="D183">
        <v>16</v>
      </c>
      <c r="E183">
        <v>16</v>
      </c>
      <c r="F183">
        <v>1</v>
      </c>
      <c r="G183">
        <v>0</v>
      </c>
      <c r="H183">
        <v>56.470588235294002</v>
      </c>
      <c r="I183">
        <f t="shared" si="44"/>
        <v>0</v>
      </c>
      <c r="J183">
        <f t="shared" si="45"/>
        <v>1072.941176470586</v>
      </c>
      <c r="K183">
        <f t="shared" si="46"/>
        <v>1072.941176470586</v>
      </c>
    </row>
    <row r="184" spans="1:11" x14ac:dyDescent="0.25">
      <c r="A184" t="s">
        <v>197</v>
      </c>
      <c r="B184" t="s">
        <v>8</v>
      </c>
      <c r="C184">
        <f t="shared" ref="C184:C194" si="56">C183</f>
        <v>19</v>
      </c>
      <c r="D184">
        <f t="shared" ref="D184:D194" si="57">D183</f>
        <v>16</v>
      </c>
      <c r="E184">
        <v>16</v>
      </c>
      <c r="F184">
        <v>1</v>
      </c>
      <c r="G184">
        <v>10</v>
      </c>
      <c r="H184">
        <v>45.674740484429002</v>
      </c>
      <c r="I184">
        <f t="shared" si="44"/>
        <v>10</v>
      </c>
      <c r="J184">
        <f t="shared" si="45"/>
        <v>867.82006920415108</v>
      </c>
      <c r="K184">
        <f t="shared" si="46"/>
        <v>877.82006920415108</v>
      </c>
    </row>
    <row r="185" spans="1:11" x14ac:dyDescent="0.25">
      <c r="A185" t="s">
        <v>198</v>
      </c>
      <c r="B185" t="s">
        <v>8</v>
      </c>
      <c r="C185">
        <f t="shared" si="56"/>
        <v>19</v>
      </c>
      <c r="D185">
        <f t="shared" si="57"/>
        <v>16</v>
      </c>
      <c r="E185">
        <v>16</v>
      </c>
      <c r="F185">
        <v>1</v>
      </c>
      <c r="G185">
        <v>30</v>
      </c>
      <c r="H185">
        <v>44.013840830449702</v>
      </c>
      <c r="I185">
        <f t="shared" si="44"/>
        <v>30</v>
      </c>
      <c r="J185">
        <f t="shared" si="45"/>
        <v>836.26297577854439</v>
      </c>
      <c r="K185">
        <f t="shared" si="46"/>
        <v>866.26297577854439</v>
      </c>
    </row>
    <row r="186" spans="1:11" x14ac:dyDescent="0.25">
      <c r="A186" t="s">
        <v>199</v>
      </c>
      <c r="B186" t="s">
        <v>8</v>
      </c>
      <c r="C186">
        <f t="shared" si="56"/>
        <v>19</v>
      </c>
      <c r="D186">
        <f t="shared" si="57"/>
        <v>16</v>
      </c>
      <c r="E186">
        <v>16</v>
      </c>
      <c r="F186">
        <v>1</v>
      </c>
      <c r="G186">
        <v>60</v>
      </c>
      <c r="H186">
        <v>34.048442906574302</v>
      </c>
      <c r="I186">
        <f t="shared" si="44"/>
        <v>60</v>
      </c>
      <c r="J186">
        <f t="shared" si="45"/>
        <v>646.92041522491172</v>
      </c>
      <c r="K186">
        <f t="shared" si="46"/>
        <v>706.92041522491172</v>
      </c>
    </row>
    <row r="187" spans="1:11" x14ac:dyDescent="0.25">
      <c r="A187" t="s">
        <v>200</v>
      </c>
      <c r="B187" t="s">
        <v>8</v>
      </c>
      <c r="C187">
        <f t="shared" si="56"/>
        <v>19</v>
      </c>
      <c r="D187">
        <f t="shared" si="57"/>
        <v>16</v>
      </c>
      <c r="E187">
        <v>16</v>
      </c>
      <c r="F187">
        <v>5</v>
      </c>
      <c r="G187">
        <v>0</v>
      </c>
      <c r="H187">
        <v>56.055363321799199</v>
      </c>
      <c r="I187">
        <f t="shared" si="44"/>
        <v>0</v>
      </c>
      <c r="J187">
        <f t="shared" si="45"/>
        <v>1065.0519031141848</v>
      </c>
      <c r="K187">
        <f t="shared" si="46"/>
        <v>1065.0519031141848</v>
      </c>
    </row>
    <row r="188" spans="1:11" x14ac:dyDescent="0.25">
      <c r="A188" t="s">
        <v>201</v>
      </c>
      <c r="B188" t="s">
        <v>8</v>
      </c>
      <c r="C188">
        <f t="shared" si="56"/>
        <v>19</v>
      </c>
      <c r="D188">
        <f t="shared" si="57"/>
        <v>16</v>
      </c>
      <c r="E188">
        <v>16</v>
      </c>
      <c r="F188">
        <v>5</v>
      </c>
      <c r="G188">
        <v>10</v>
      </c>
      <c r="H188">
        <v>45.259515570934198</v>
      </c>
      <c r="I188">
        <f t="shared" si="44"/>
        <v>50</v>
      </c>
      <c r="J188">
        <f t="shared" si="45"/>
        <v>859.93079584774978</v>
      </c>
      <c r="K188">
        <f t="shared" si="46"/>
        <v>909.93079584774978</v>
      </c>
    </row>
    <row r="189" spans="1:11" x14ac:dyDescent="0.25">
      <c r="A189" t="s">
        <v>202</v>
      </c>
      <c r="B189" t="s">
        <v>8</v>
      </c>
      <c r="C189">
        <f t="shared" si="56"/>
        <v>19</v>
      </c>
      <c r="D189">
        <f t="shared" si="57"/>
        <v>16</v>
      </c>
      <c r="E189">
        <v>16</v>
      </c>
      <c r="F189">
        <v>5</v>
      </c>
      <c r="G189">
        <v>30</v>
      </c>
      <c r="H189">
        <v>36.539792387543201</v>
      </c>
      <c r="I189">
        <f t="shared" si="44"/>
        <v>150</v>
      </c>
      <c r="J189">
        <f t="shared" si="45"/>
        <v>694.2560553633208</v>
      </c>
      <c r="K189">
        <f t="shared" si="46"/>
        <v>844.2560553633208</v>
      </c>
    </row>
    <row r="190" spans="1:11" x14ac:dyDescent="0.25">
      <c r="A190" t="s">
        <v>203</v>
      </c>
      <c r="B190" t="s">
        <v>8</v>
      </c>
      <c r="C190">
        <f t="shared" si="56"/>
        <v>19</v>
      </c>
      <c r="D190">
        <f t="shared" si="57"/>
        <v>16</v>
      </c>
      <c r="E190">
        <v>16</v>
      </c>
      <c r="F190">
        <v>5</v>
      </c>
      <c r="G190">
        <v>60</v>
      </c>
      <c r="H190">
        <v>29.065743944636601</v>
      </c>
      <c r="I190">
        <f t="shared" si="44"/>
        <v>300</v>
      </c>
      <c r="J190">
        <f t="shared" si="45"/>
        <v>552.24913494809539</v>
      </c>
      <c r="K190">
        <f t="shared" si="46"/>
        <v>852.24913494809539</v>
      </c>
    </row>
    <row r="191" spans="1:11" x14ac:dyDescent="0.25">
      <c r="A191" t="s">
        <v>204</v>
      </c>
      <c r="B191" t="s">
        <v>8</v>
      </c>
      <c r="C191">
        <f t="shared" si="56"/>
        <v>19</v>
      </c>
      <c r="D191">
        <f t="shared" si="57"/>
        <v>16</v>
      </c>
      <c r="E191">
        <v>16</v>
      </c>
      <c r="F191">
        <v>9</v>
      </c>
      <c r="G191">
        <v>0</v>
      </c>
      <c r="H191">
        <v>56.055363321799199</v>
      </c>
      <c r="I191">
        <f t="shared" si="44"/>
        <v>0</v>
      </c>
      <c r="J191">
        <f t="shared" si="45"/>
        <v>1065.0519031141848</v>
      </c>
      <c r="K191">
        <f t="shared" si="46"/>
        <v>1065.0519031141848</v>
      </c>
    </row>
    <row r="192" spans="1:11" x14ac:dyDescent="0.25">
      <c r="A192" t="s">
        <v>205</v>
      </c>
      <c r="B192" t="s">
        <v>8</v>
      </c>
      <c r="C192">
        <f t="shared" si="56"/>
        <v>19</v>
      </c>
      <c r="D192">
        <f t="shared" si="57"/>
        <v>16</v>
      </c>
      <c r="E192">
        <v>16</v>
      </c>
      <c r="F192">
        <v>9</v>
      </c>
      <c r="G192">
        <v>10</v>
      </c>
      <c r="H192">
        <v>45.259515570934198</v>
      </c>
      <c r="I192">
        <f t="shared" si="44"/>
        <v>90</v>
      </c>
      <c r="J192">
        <f t="shared" si="45"/>
        <v>859.93079584774978</v>
      </c>
      <c r="K192">
        <f t="shared" si="46"/>
        <v>949.93079584774978</v>
      </c>
    </row>
    <row r="193" spans="1:11" x14ac:dyDescent="0.25">
      <c r="A193" t="s">
        <v>206</v>
      </c>
      <c r="B193" t="s">
        <v>8</v>
      </c>
      <c r="C193">
        <f t="shared" si="56"/>
        <v>19</v>
      </c>
      <c r="D193">
        <f t="shared" si="57"/>
        <v>16</v>
      </c>
      <c r="E193">
        <v>16</v>
      </c>
      <c r="F193">
        <v>9</v>
      </c>
      <c r="G193">
        <v>30</v>
      </c>
      <c r="H193">
        <v>36.539792387543201</v>
      </c>
      <c r="I193">
        <f t="shared" si="44"/>
        <v>270</v>
      </c>
      <c r="J193">
        <f t="shared" si="45"/>
        <v>694.2560553633208</v>
      </c>
      <c r="K193">
        <f t="shared" si="46"/>
        <v>964.2560553633208</v>
      </c>
    </row>
    <row r="194" spans="1:11" x14ac:dyDescent="0.25">
      <c r="A194" t="s">
        <v>207</v>
      </c>
      <c r="B194" t="s">
        <v>8</v>
      </c>
      <c r="C194">
        <f t="shared" si="56"/>
        <v>19</v>
      </c>
      <c r="D194">
        <f t="shared" si="57"/>
        <v>16</v>
      </c>
      <c r="E194">
        <v>16</v>
      </c>
      <c r="F194">
        <v>9</v>
      </c>
      <c r="G194">
        <v>60</v>
      </c>
      <c r="H194">
        <v>20.761245674740501</v>
      </c>
      <c r="I194">
        <f t="shared" si="44"/>
        <v>540</v>
      </c>
      <c r="J194">
        <f t="shared" si="45"/>
        <v>394.46366782006953</v>
      </c>
      <c r="K194">
        <f t="shared" si="46"/>
        <v>934.46366782006953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 (2)</vt:lpstr>
      <vt:lpstr>Sheet2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2024-10-16T02:02:14Z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